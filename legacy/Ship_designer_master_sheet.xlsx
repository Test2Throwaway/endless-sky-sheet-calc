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6.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9.xml" ContentType="application/vnd.openxmlformats-officedocument.drawing+xml"/>
  <Override PartName="/xl/drawings/drawing1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Drives" sheetId="1" state="visible" r:id="rId3"/>
    <sheet name="Jammers" sheetId="2" state="visible" r:id="rId4"/>
    <sheet name="Fuel" sheetId="3" state="visible" r:id="rId5"/>
    <sheet name="master sheet" sheetId="4" state="visible" r:id="rId6"/>
    <sheet name="Scanners" sheetId="5" state="visible" r:id="rId7"/>
    <sheet name="Generators" sheetId="6" state="visible" r:id="rId8"/>
    <sheet name="Batteries " sheetId="7" state="visible" r:id="rId9"/>
    <sheet name="Cooling" sheetId="8" state="visible" r:id="rId10"/>
    <sheet name="Engines" sheetId="9" state="visible" r:id="rId11"/>
    <sheet name="Shields" sheetId="10" state="visible" r:id="rId12"/>
    <sheet name="Cargo &amp; Outfit Expansions" sheetId="11" state="visible" r:id="rId13"/>
    <sheet name="Anti-Missile" sheetId="12" state="visible" r:id="rId14"/>
    <sheet name="Utility Weapons_Shield disabali" sheetId="13" state="visible" r:id="rId15"/>
    <sheet name="Utility Weapons_moving" sheetId="14" state="visible" r:id="rId16"/>
    <sheet name="Utility Weapons_slowing" sheetId="15" state="visible" r:id="rId17"/>
    <sheet name="Utility Weapons_Shield disrupti" sheetId="16" state="visible" r:id="rId18"/>
    <sheet name="Utility Weapons_Trackter beam" sheetId="17" state="visible" r:id="rId19"/>
    <sheet name="Utility Weapons_Heat damage" sheetId="18" state="visible" r:id="rId20"/>
    <sheet name="Utility Weapons_Ion" sheetId="19" state="visible" r:id="rId21"/>
    <sheet name="Damage Weapons" sheetId="20" state="visible" r:id="rId22"/>
  </sheets>
  <definedNames>
    <definedName function="false" hidden="true" localSheetId="7" name="_xlnm._FilterDatabase" vbProcedure="false">Cooling!$A$1:$G$13</definedName>
    <definedName function="false" hidden="true" localSheetId="19" name="_xlnm._FilterDatabase" vbProcedure="false">'Damage Weapons'!$A$1:$AC$50</definedName>
    <definedName function="false" hidden="true" localSheetId="8" name="_xlnm._FilterDatabase" vbProcedure="false">Engines!$A$1:$Z$112</definedName>
    <definedName function="false" hidden="true" localSheetId="5" name="_xlnm._FilterDatabase" vbProcedure="false">Generators!$A$1:$L$71</definedName>
    <definedName function="false" hidden="true" localSheetId="3" name="_xlnm._FilterDatabase" vbProcedure="false">'master sheet'!$A$1:$C$171</definedName>
    <definedName function="false" hidden="true" localSheetId="4" name="_xlnm._FilterDatabase" vbProcedure="false">Scanners!$A$1:$H$10</definedName>
    <definedName function="false" hidden="true" localSheetId="9" name="_xlnm._FilterDatabase" vbProcedure="false">Shields!$A$1:$U$45</definedName>
    <definedName function="false" hidden="true" localSheetId="17" name="_xlnm._FilterDatabase" vbProcedure="false">'Utility Weapons_Heat damage'!$A$1:$S$13</definedName>
    <definedName function="false" hidden="true" localSheetId="18" name="_xlnm._FilterDatabase" vbProcedure="false">'Utility Weapons_Ion'!$A$1:$T$5</definedName>
    <definedName function="false" hidden="true" localSheetId="13" name="_xlnm._FilterDatabase" vbProcedure="false">'Utility Weapons_moving'!$A$1:$T$5</definedName>
    <definedName function="false" hidden="true" localSheetId="12" name="_xlnm._FilterDatabase" vbProcedure="false">'Utility Weapons_Shield disabali'!$A$1:$N$3</definedName>
    <definedName function="false" hidden="true" localSheetId="15" name="_xlnm._FilterDatabase" vbProcedure="false">'Utility Weapons_Shield disrupti'!$A$1:$O$2</definedName>
    <definedName function="false" hidden="true" localSheetId="14" name="_xlnm._FilterDatabase" vbProcedure="false">'Utility Weapons_slowing'!$A$1:$R$4</definedName>
    <definedName function="false" hidden="true" localSheetId="16" name="_xlnm._FilterDatabase" vbProcedure="false">'Utility Weapons_Trackter beam'!$A$1:$K$3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<sst xmlns="http://schemas.openxmlformats.org/spreadsheetml/2006/main" count="951" uniqueCount="519">
  <si>
    <t xml:space="preserve">Name</t>
  </si>
  <si>
    <t xml:space="preserve">Outfit Space used</t>
  </si>
  <si>
    <t xml:space="preserve">Jump Fuel</t>
  </si>
  <si>
    <t xml:space="preserve">Hyperdrive</t>
  </si>
  <si>
    <t xml:space="preserve">Jump Drive</t>
  </si>
  <si>
    <t xml:space="preserve">Quantum Keystone</t>
  </si>
  <si>
    <t xml:space="preserve">Energy Consumption (per second)</t>
  </si>
  <si>
    <t xml:space="preserve">Heat Generation (per second)</t>
  </si>
  <si>
    <t xml:space="preserve">Radar Jamming</t>
  </si>
  <si>
    <t xml:space="preserve">Optical Jamming</t>
  </si>
  <si>
    <t xml:space="preserve">Scan Interference</t>
  </si>
  <si>
    <t xml:space="preserve">Cargo Scan Opacity</t>
  </si>
  <si>
    <t xml:space="preserve">Outfit Scan Opacity</t>
  </si>
  <si>
    <t xml:space="preserve">Small Radar Jammer</t>
  </si>
  <si>
    <t xml:space="preserve">Large Radar Jammer</t>
  </si>
  <si>
    <t xml:space="preserve">Hai Cuttlefish Jammer</t>
  </si>
  <si>
    <t xml:space="preserve">Hai Octopus Jammer</t>
  </si>
  <si>
    <t xml:space="preserve">Decoy Plating</t>
  </si>
  <si>
    <t xml:space="preserve">Interference Plating</t>
  </si>
  <si>
    <t xml:space="preserve">Phantom Pallet</t>
  </si>
  <si>
    <t xml:space="preserve">Holovid Zone</t>
  </si>
  <si>
    <t xml:space="preserve">Fuel Capacity</t>
  </si>
  <si>
    <t xml:space="preserve">Ramscoop</t>
  </si>
  <si>
    <t xml:space="preserve">Fuel generation per second.</t>
  </si>
  <si>
    <t xml:space="preserve">Solar Heat</t>
  </si>
  <si>
    <t xml:space="preserve">Solar heat per second validation target</t>
  </si>
  <si>
    <t xml:space="preserve">Cargo Space</t>
  </si>
  <si>
    <t xml:space="preserve">Fuel Pod</t>
  </si>
  <si>
    <t xml:space="preserve">Fuel Module</t>
  </si>
  <si>
    <t xml:space="preserve">Refueling Module</t>
  </si>
  <si>
    <t xml:space="preserve">Deuterium Slush Tank</t>
  </si>
  <si>
    <t xml:space="preserve">Cryogenic Deuterium Tank</t>
  </si>
  <si>
    <t xml:space="preserve">Catalytic Ramscoop</t>
  </si>
  <si>
    <t xml:space="preserve">Emergency Ramscoop</t>
  </si>
  <si>
    <t xml:space="preserve">Fuel Processor</t>
  </si>
  <si>
    <t xml:space="preserve">Wanderer Ramscoop</t>
  </si>
  <si>
    <t xml:space="preserve">Magnetic Scoop</t>
  </si>
  <si>
    <t xml:space="preserve">row</t>
  </si>
  <si>
    <t xml:space="preserve">Explanation</t>
  </si>
  <si>
    <t xml:space="preserve">New name</t>
  </si>
  <si>
    <t xml:space="preserve">Energy Consumption</t>
  </si>
  <si>
    <t xml:space="preserve">Amount of energy this outfit consumes per second, regardless of whether it is doing anything. Energy consumption must be adressed by energy generation</t>
  </si>
  <si>
    <t xml:space="preserve">Heat Generation</t>
  </si>
  <si>
    <t xml:space="preserve">Amount of Heat this outfit generates per second, regardless of whether it is doing anything. Heat must be addressed by cooling</t>
  </si>
  <si>
    <t xml:space="preserve">Outfit Space</t>
  </si>
  <si>
    <t xml:space="preserve">Amount of Outfit space this outfit takes up. A ships outfits are primarily constrained by outfit space. (a ship can convert outfit space to cargo space, at a 4:3 ratio, if cargo space is more needed then outfit space</t>
  </si>
  <si>
    <t xml:space="preserve">Fuel used per hyperspace jump. (moving from one system to the next)</t>
  </si>
  <si>
    <t xml:space="preserve">Name of outfit</t>
  </si>
  <si>
    <t xml:space="preserve">Reduces the ability of optical-guided missiles to track your ship, which is mostly useful for larger ships. The more optical jamming is installed, the greater the distance at which missiles can be jammed, and the greater the chance that a jammed missile will fly off in a random direction.</t>
  </si>
  <si>
    <t xml:space="preserve">Reduces the ability of radar-guided missiles to track your ship. The more radar jamming is installed, the greater the distance at which missiles can be jammed, and the greater the chance that a jammed missile will fly off in a random direction.</t>
  </si>
  <si>
    <t xml:space="preserve">Active Cooling</t>
  </si>
  <si>
    <t xml:space="preserve">Anti-Missile</t>
  </si>
  <si>
    <t xml:space="preserve">Asteroid Scan Power</t>
  </si>
  <si>
    <t xml:space="preserve">Blast Radius</t>
  </si>
  <si>
    <t xml:space="preserve">Burn DPS</t>
  </si>
  <si>
    <t xml:space="preserve">Cargo Scan Efficiency</t>
  </si>
  <si>
    <t xml:space="preserve">Increases the time required to complete a cargo scan on this ship. Relevant if the ship carries illegal cargo, or if it is a freighter likely to be targeted by pirates.</t>
  </si>
  <si>
    <t xml:space="preserve">Increases the time required for other ships to perform a cargo scan of this ship. A value of one has the same influence on the time taken as adding one more ton of cargo space to scan.</t>
  </si>
  <si>
    <t xml:space="preserve">Amount of cargo this ship can hold. Some rare outfits take some cargo space, as well as outfit space. Cargo space can be converted to outfit space at a 4:3 ratio, with the help of Outfits Expansion outfits, however, it provides a real cooling inefitiency penilty, that puts an efective cap at 60 (4 Outfits Expansion outfits, taking 80 cargo space, and adding 60 outfit space) </t>
  </si>
  <si>
    <t xml:space="preserve">Category</t>
  </si>
  <si>
    <t xml:space="preserve">Cooling</t>
  </si>
  <si>
    <t xml:space="preserve">Cooling Energy</t>
  </si>
  <si>
    <t xml:space="preserve">Cooling Inefficiency</t>
  </si>
  <si>
    <t xml:space="preserve">Disruption DPS</t>
  </si>
  <si>
    <t xml:space="preserve">energy capacity</t>
  </si>
  <si>
    <t xml:space="preserve">Energy DPS</t>
  </si>
  <si>
    <t xml:space="preserve">energy generation</t>
  </si>
  <si>
    <t xml:space="preserve">energy per outfit</t>
  </si>
  <si>
    <t xml:space="preserve">Energy/s per Weapon Cap</t>
  </si>
  <si>
    <t xml:space="preserve">engine capacity</t>
  </si>
  <si>
    <t xml:space="preserve">Engine max energy</t>
  </si>
  <si>
    <t xml:space="preserve">Engine max heat</t>
  </si>
  <si>
    <t xml:space="preserve">Firing Energy</t>
  </si>
  <si>
    <t xml:space="preserve">Firing Energy/s</t>
  </si>
  <si>
    <t xml:space="preserve">Firing Fuel / second</t>
  </si>
  <si>
    <t xml:space="preserve">Firing Heat</t>
  </si>
  <si>
    <t xml:space="preserve">Firing Heat/s</t>
  </si>
  <si>
    <t xml:space="preserve">The amount of fuel this ship can hold. An ordinary hyperdrive jump consumes 100 fuel. Fuel can also be used by a small minority of of weapons</t>
  </si>
  <si>
    <t xml:space="preserve">Fuel Generation</t>
  </si>
  <si>
    <t xml:space="preserve">Fuel generated per second. Much less efficient then ramscoop, but does not rely on nearby stars, making it much more reliable. Due to its much higher outfit space per fuel generation, it is typically not worth it compared to ramscoops, unless the mission profile requires staying in low solar_wind systems, or you are really bumping up against ramscoop diminishing returns, and need more fuel generation.</t>
  </si>
  <si>
    <t xml:space="preserve">Gun Ports</t>
  </si>
  <si>
    <t xml:space="preserve">Heat Capacity</t>
  </si>
  <si>
    <t xml:space="preserve">Heat compancated Outfit Space</t>
  </si>
  <si>
    <t xml:space="preserve">Heat Dissipation</t>
  </si>
  <si>
    <t xml:space="preserve">Heat DPS</t>
  </si>
  <si>
    <t xml:space="preserve">heat per energy</t>
  </si>
  <si>
    <t xml:space="preserve">Heat/s per Weapon Cap</t>
  </si>
  <si>
    <t xml:space="preserve">Hit Force/s</t>
  </si>
  <si>
    <t xml:space="preserve">Homing</t>
  </si>
  <si>
    <t xml:space="preserve">Hull DPS</t>
  </si>
  <si>
    <t xml:space="preserve">Hull DPS per Weapon Cap</t>
  </si>
  <si>
    <t xml:space="preserve">Hull Energy</t>
  </si>
  <si>
    <t xml:space="preserve">Hull Heat</t>
  </si>
  <si>
    <t xml:space="preserve">Hull Repair Multiplier</t>
  </si>
  <si>
    <t xml:space="preserve">Hull Repair Rate</t>
  </si>
  <si>
    <t xml:space="preserve">Inaccuracy</t>
  </si>
  <si>
    <t xml:space="preserve">Instantaneous</t>
  </si>
  <si>
    <t xml:space="preserve">Ion DPS</t>
  </si>
  <si>
    <t xml:space="preserve">Lasing Power</t>
  </si>
  <si>
    <t xml:space="preserve">obsolete</t>
  </si>
  <si>
    <t xml:space="preserve">Outfit Scan Efficiency</t>
  </si>
  <si>
    <t xml:space="preserve">Increases the time required for other ships to perform an outfit scan of this ship. A value of one has the same influence on the time taken as adding one more ton of outfit space to scan.</t>
  </si>
  <si>
    <t xml:space="preserve">Outfit Scan Power</t>
  </si>
  <si>
    <t xml:space="preserve">Piercing</t>
  </si>
  <si>
    <t xml:space="preserve"> Rate of passive fuel collection from nearby stars. Scales with the square root of total ramscoop across all outfits — strong diminishing returns</t>
  </si>
  <si>
    <t xml:space="preserve">Range</t>
  </si>
  <si>
    <t xml:space="preserve">reverse</t>
  </si>
  <si>
    <t xml:space="preserve">reverse / Energy</t>
  </si>
  <si>
    <t xml:space="preserve">reverse / heat</t>
  </si>
  <si>
    <t xml:space="preserve">reverse / outfit</t>
  </si>
  <si>
    <t xml:space="preserve">reverse energy</t>
  </si>
  <si>
    <t xml:space="preserve">reverse heat</t>
  </si>
  <si>
    <t xml:space="preserve">Ability to evade detection when a ship is carrying illegal outfits or cargo. Interference of 1 blocks 50% of scan attempts; 3 blocks 75%, and 9 blocks 90%.</t>
  </si>
  <si>
    <t xml:space="preserve">Scrambling DPS</t>
  </si>
  <si>
    <t xml:space="preserve">Separates into multiple smaller projectiles</t>
  </si>
  <si>
    <t xml:space="preserve">Series</t>
  </si>
  <si>
    <t xml:space="preserve">Shield Connection Point</t>
  </si>
  <si>
    <t xml:space="preserve">Shield DPS</t>
  </si>
  <si>
    <t xml:space="preserve">Shield DPS per Weapon Cap</t>
  </si>
  <si>
    <t xml:space="preserve">Shield Energy</t>
  </si>
  <si>
    <t xml:space="preserve">Shield Energy Multiplier</t>
  </si>
  <si>
    <t xml:space="preserve">Shield Energy/ oufit</t>
  </si>
  <si>
    <t xml:space="preserve">Shield Generation</t>
  </si>
  <si>
    <t xml:space="preserve">shield generation / energy</t>
  </si>
  <si>
    <t xml:space="preserve">Shield Generation / outfit space</t>
  </si>
  <si>
    <t xml:space="preserve">Shield Generation Multiplier</t>
  </si>
  <si>
    <t xml:space="preserve">Shield Heat</t>
  </si>
  <si>
    <t xml:space="preserve">Shield Protection</t>
  </si>
  <si>
    <t xml:space="preserve">Shots / second</t>
  </si>
  <si>
    <t xml:space="preserve">shots per second</t>
  </si>
  <si>
    <t xml:space="preserve">Slowing DPS</t>
  </si>
  <si>
    <t xml:space="preserve">Solar collection</t>
  </si>
  <si>
    <t xml:space="preserve">Heat produced over time depending on how far this ship is from the star at the center of the system. Based on a stars solar_power.</t>
  </si>
  <si>
    <t xml:space="preserve">derived data. This is the heat per second you should validate against as a bad, but not absolute  worst case situation </t>
  </si>
  <si>
    <t xml:space="preserve">Special notes</t>
  </si>
  <si>
    <t xml:space="preserve">Tactical Scan Power</t>
  </si>
  <si>
    <t xml:space="preserve">thrust</t>
  </si>
  <si>
    <t xml:space="preserve">Thrust / Energy</t>
  </si>
  <si>
    <t xml:space="preserve">Thrust / Heat</t>
  </si>
  <si>
    <t xml:space="preserve">Thrust / outfit</t>
  </si>
  <si>
    <t xml:space="preserve">thrusting energy</t>
  </si>
  <si>
    <t xml:space="preserve">thrusting heat</t>
  </si>
  <si>
    <t xml:space="preserve">Tractor Beam / second</t>
  </si>
  <si>
    <t xml:space="preserve">turn</t>
  </si>
  <si>
    <t xml:space="preserve">Turn / Energy</t>
  </si>
  <si>
    <t xml:space="preserve">Turn / heat</t>
  </si>
  <si>
    <t xml:space="preserve">Turn / outfit</t>
  </si>
  <si>
    <t xml:space="preserve">turning energy</t>
  </si>
  <si>
    <t xml:space="preserve">turning heat</t>
  </si>
  <si>
    <t xml:space="preserve">Turret Mounts</t>
  </si>
  <si>
    <t xml:space="preserve">Turret Turn</t>
  </si>
  <si>
    <t xml:space="preserve">Weapon capacity</t>
  </si>
  <si>
    <t xml:space="preserve">Weighted DPS/WC (Disabling)</t>
  </si>
  <si>
    <t xml:space="preserve">Weighted DPS/WC (Hull)</t>
  </si>
  <si>
    <t xml:space="preserve">Weighted DPS/WC (Normal)</t>
  </si>
  <si>
    <t xml:space="preserve">Tactical Scanner</t>
  </si>
  <si>
    <t xml:space="preserve">Value Detector</t>
  </si>
  <si>
    <t xml:space="preserve">Salvage Scanner</t>
  </si>
  <si>
    <t xml:space="preserve">Multispectral Scanner</t>
  </si>
  <si>
    <t xml:space="preserve">Spectrometer Array</t>
  </si>
  <si>
    <t xml:space="preserve">Research Laboratory</t>
  </si>
  <si>
    <t xml:space="preserve">"Tuur" Scanning Suite</t>
  </si>
  <si>
    <t xml:space="preserve">Cargo Scanner</t>
  </si>
  <si>
    <t xml:space="preserve">Outfit Scanner</t>
  </si>
  <si>
    <t xml:space="preserve">Solar heat</t>
  </si>
  <si>
    <t xml:space="preserve">Triple Plasma Core</t>
  </si>
  <si>
    <t xml:space="preserve">Lantern Fission Core</t>
  </si>
  <si>
    <t xml:space="preserve">Double Plasma Core</t>
  </si>
  <si>
    <t xml:space="preserve">Plasma Core</t>
  </si>
  <si>
    <t xml:space="preserve">Antimatter Power Cell</t>
  </si>
  <si>
    <t xml:space="preserve">Blue Sun Reactor</t>
  </si>
  <si>
    <t xml:space="preserve">White Sun Reactor</t>
  </si>
  <si>
    <t xml:space="preserve">Boulder Reactor</t>
  </si>
  <si>
    <t xml:space="preserve">Yellow Sun Reactor</t>
  </si>
  <si>
    <t xml:space="preserve">Fusion Reactor</t>
  </si>
  <si>
    <t xml:space="preserve">Red Sun Reactor</t>
  </si>
  <si>
    <t xml:space="preserve">Ka'het MHD Generator</t>
  </si>
  <si>
    <t xml:space="preserve">Breeder Reactor</t>
  </si>
  <si>
    <t xml:space="preserve">Large Collector Module</t>
  </si>
  <si>
    <t xml:space="preserve">Geode Reactor</t>
  </si>
  <si>
    <t xml:space="preserve">Generator (Inferno Class)</t>
  </si>
  <si>
    <t xml:space="preserve">Fission Reactor</t>
  </si>
  <si>
    <t xml:space="preserve">Generator (Furnace Class)</t>
  </si>
  <si>
    <t xml:space="preserve">Pebble Core</t>
  </si>
  <si>
    <t xml:space="preserve">Aeon Cell</t>
  </si>
  <si>
    <t xml:space="preserve">Concentrating Solar Array</t>
  </si>
  <si>
    <t xml:space="preserve">Small Collector Module</t>
  </si>
  <si>
    <t xml:space="preserve">Dwarf Core</t>
  </si>
  <si>
    <t xml:space="preserve">OC-"Mavra" Betavoltaic Cell</t>
  </si>
  <si>
    <t xml:space="preserve">Epoch Cell</t>
  </si>
  <si>
    <t xml:space="preserve">Solar Battery and Cells (36 cells)</t>
  </si>
  <si>
    <t xml:space="preserve">Solar Battery and Cells (35 cells)</t>
  </si>
  <si>
    <t xml:space="preserve">Solar Battery and Cells (34 cells)</t>
  </si>
  <si>
    <t xml:space="preserve">Solar Battery and Cells (33 cells)</t>
  </si>
  <si>
    <t xml:space="preserve">Solar Battery and Cells (32 cells)</t>
  </si>
  <si>
    <t xml:space="preserve">Solar Battery and Cells (31 cells)</t>
  </si>
  <si>
    <t xml:space="preserve">Solar Battery and Cells (30 cells)</t>
  </si>
  <si>
    <t xml:space="preserve">Solar Battery and Cells (29 cells)</t>
  </si>
  <si>
    <t xml:space="preserve">Solar Battery and Cells (28 cells)</t>
  </si>
  <si>
    <t xml:space="preserve">Large Cogeneration Module</t>
  </si>
  <si>
    <t xml:space="preserve">Solar Battery and Cells (27 cells)</t>
  </si>
  <si>
    <t xml:space="preserve">Solar Battery and Cells (26 cells)</t>
  </si>
  <si>
    <t xml:space="preserve">Solar Battery and Cells (25 cells)</t>
  </si>
  <si>
    <t xml:space="preserve">Solar Battery and Cells (24 cells)</t>
  </si>
  <si>
    <t xml:space="preserve">Solar Battery and Cells (23 cells)</t>
  </si>
  <si>
    <t xml:space="preserve">Solar Battery and Cells (22 cells)</t>
  </si>
  <si>
    <t xml:space="preserve">Solar Battery and Cells (21 cells)</t>
  </si>
  <si>
    <t xml:space="preserve">6-"Ruuv" Betavoltaic Cell</t>
  </si>
  <si>
    <t xml:space="preserve">Solar Battery and Cells (20 cells)</t>
  </si>
  <si>
    <t xml:space="preserve">Solar Battery and Cells (19 cells)</t>
  </si>
  <si>
    <t xml:space="preserve">Small Cogeneration Module</t>
  </si>
  <si>
    <t xml:space="preserve">Solar Battery and Cells (18 cells)</t>
  </si>
  <si>
    <t xml:space="preserve">Solar Battery and Cells (17 cells)</t>
  </si>
  <si>
    <t xml:space="preserve">Solar Battery and Cells (16 cells)</t>
  </si>
  <si>
    <t xml:space="preserve">Concentrating Solar Cell</t>
  </si>
  <si>
    <t xml:space="preserve">3-"Kaska" Betavoltaic Cell</t>
  </si>
  <si>
    <t xml:space="preserve">Solar Battery and Cells (15 cells)</t>
  </si>
  <si>
    <t xml:space="preserve">Solar Battery and Cells (14 cells)</t>
  </si>
  <si>
    <t xml:space="preserve">Solar Battery and Cells (13 cells)</t>
  </si>
  <si>
    <t xml:space="preserve">Solar Battery and Cells (12 cells)</t>
  </si>
  <si>
    <t xml:space="preserve">Solar Battery and Cells (11 cells)</t>
  </si>
  <si>
    <t xml:space="preserve">Solar Battery and Cells (10 cells)</t>
  </si>
  <si>
    <t xml:space="preserve">1-"Uurau" Betavoltaic Cell</t>
  </si>
  <si>
    <t xml:space="preserve">Solar Battery and Cells (9 cells)</t>
  </si>
  <si>
    <t xml:space="preserve">Large Biochemical Cell</t>
  </si>
  <si>
    <t xml:space="preserve">Solar Battery and Cells (8 cells)</t>
  </si>
  <si>
    <t xml:space="preserve">Small Biochemical Cell</t>
  </si>
  <si>
    <t xml:space="preserve">Solar Battery and Cells (7 cells)</t>
  </si>
  <si>
    <t xml:space="preserve">Solar Battery and Cells (6 cells)</t>
  </si>
  <si>
    <t xml:space="preserve">Solar Battery and Cells (5 cells)</t>
  </si>
  <si>
    <t xml:space="preserve">Solar Battery and Cells (4 cells)</t>
  </si>
  <si>
    <t xml:space="preserve">KP-6 Photovoltaic Panel</t>
  </si>
  <si>
    <t xml:space="preserve">Solar Battery and Cells (3 cells)</t>
  </si>
  <si>
    <t xml:space="preserve">Solar Battery and Cells (2 cells)</t>
  </si>
  <si>
    <t xml:space="preserve">Solar Battery and Cells (1 cell)</t>
  </si>
  <si>
    <t xml:space="preserve">Small Battery Module</t>
  </si>
  <si>
    <t xml:space="preserve">Large Battery Module</t>
  </si>
  <si>
    <t xml:space="preserve">Hai Ravine Batteries</t>
  </si>
  <si>
    <t xml:space="preserve">Hai Valley Batteries</t>
  </si>
  <si>
    <t xml:space="preserve">Supercapacitor</t>
  </si>
  <si>
    <t xml:space="preserve">LP036a Battery Pack</t>
  </si>
  <si>
    <t xml:space="preserve">LP144a Battery Pack</t>
  </si>
  <si>
    <t xml:space="preserve">LP288a Battery Pack</t>
  </si>
  <si>
    <t xml:space="preserve">LP576a Battery Pack</t>
  </si>
  <si>
    <t xml:space="preserve">Ka'het Reserve Accumulator</t>
  </si>
  <si>
    <t xml:space="preserve">Crystal Capacitor</t>
  </si>
  <si>
    <t xml:space="preserve">Thermoelectric Cooler</t>
  </si>
  <si>
    <t xml:space="preserve">Cooling Ducts</t>
  </si>
  <si>
    <t xml:space="preserve">Cooling Module</t>
  </si>
  <si>
    <t xml:space="preserve">Small Heat Shunt</t>
  </si>
  <si>
    <t xml:space="preserve">Ka'het Support Cooling</t>
  </si>
  <si>
    <t xml:space="preserve">Successor Cooling</t>
  </si>
  <si>
    <t xml:space="preserve">Wanderer Heat Sink</t>
  </si>
  <si>
    <t xml:space="preserve">Ka'het Primary Cooling</t>
  </si>
  <si>
    <t xml:space="preserve">Liquid Nitrogen Cooler</t>
  </si>
  <si>
    <t xml:space="preserve">Large Heat Shunt</t>
  </si>
  <si>
    <t xml:space="preserve">Liquid Sodium Cooler</t>
  </si>
  <si>
    <t xml:space="preserve">Liquid Helium Cooler</t>
  </si>
  <si>
    <t xml:space="preserve">name</t>
  </si>
  <si>
    <t xml:space="preserve">Reverser (Stellar Class)</t>
  </si>
  <si>
    <t xml:space="preserve">Reverser (Planetary Class)</t>
  </si>
  <si>
    <t xml:space="preserve">Smelter-Class Thruster</t>
  </si>
  <si>
    <t xml:space="preserve">Reverser (Lunar Class)</t>
  </si>
  <si>
    <t xml:space="preserve">"Biroo" Reverse Thruster</t>
  </si>
  <si>
    <t xml:space="preserve">"Veusa" Inductive Reverser</t>
  </si>
  <si>
    <t xml:space="preserve">Large Reverse Module</t>
  </si>
  <si>
    <t xml:space="preserve">Forge-Class Thruster</t>
  </si>
  <si>
    <t xml:space="preserve">"Benga" Reverse Thruster</t>
  </si>
  <si>
    <t xml:space="preserve">Reverser (Comet Class)</t>
  </si>
  <si>
    <t xml:space="preserve">mostly obsolete by "Chyyra" Inductive Reverser, reverse is better by 13.7%</t>
  </si>
  <si>
    <t xml:space="preserve">R-720 RCS Thrusters</t>
  </si>
  <si>
    <t xml:space="preserve">"Chyyra" Inductive Reverser</t>
  </si>
  <si>
    <t xml:space="preserve">AR120 Reverse Thruster</t>
  </si>
  <si>
    <t xml:space="preserve">"Basrem" Reverse Thruster</t>
  </si>
  <si>
    <t xml:space="preserve">Capybara Reverse Thruster</t>
  </si>
  <si>
    <t xml:space="preserve">Reverser (Asteroid Class)</t>
  </si>
  <si>
    <t xml:space="preserve">Crucible-Class Thruster</t>
  </si>
  <si>
    <t xml:space="preserve">R-360 RCS Thrusters</t>
  </si>
  <si>
    <t xml:space="preserve">"Aqra" Inductive Reverser</t>
  </si>
  <si>
    <t xml:space="preserve">Bow Drive (Meteor Class)</t>
  </si>
  <si>
    <t xml:space="preserve">Anvil-Class Engine</t>
  </si>
  <si>
    <t xml:space="preserve">X1100 Ion Reverse Thruster</t>
  </si>
  <si>
    <t xml:space="preserve">Small Reverse Module</t>
  </si>
  <si>
    <t xml:space="preserve">R-180 RCS Thrusters</t>
  </si>
  <si>
    <t xml:space="preserve">Magnetoplasma Drive</t>
  </si>
  <si>
    <t xml:space="preserve">"Aqra" Inductive Steering</t>
  </si>
  <si>
    <t xml:space="preserve">"Aqra" Inductive Thruster</t>
  </si>
  <si>
    <t xml:space="preserve">"Baellie" Atomic Engines</t>
  </si>
  <si>
    <t xml:space="preserve">"Basrem" Atomic Steering</t>
  </si>
  <si>
    <t xml:space="preserve">"Basrem" Atomic Thruster</t>
  </si>
  <si>
    <t xml:space="preserve">"Benga" Atomic Steering</t>
  </si>
  <si>
    <t xml:space="preserve">"Benga" Atomic Thruster</t>
  </si>
  <si>
    <t xml:space="preserve">"Biroo" Atomic Steering</t>
  </si>
  <si>
    <t xml:space="preserve">"Biroo" Atomic Thruster</t>
  </si>
  <si>
    <t xml:space="preserve">"Bondir" Atomic Steering</t>
  </si>
  <si>
    <t xml:space="preserve">"Bondir" Atomic Thruster</t>
  </si>
  <si>
    <t xml:space="preserve">"Bufaer" Atomic Steering</t>
  </si>
  <si>
    <t xml:space="preserve">"Bufaer" Atomic Thruster</t>
  </si>
  <si>
    <t xml:space="preserve">mostly obsolete by Large Graviton Thruster, total energy is better by 13.3%</t>
  </si>
  <si>
    <t xml:space="preserve">"Chyyra" Inductive Steering</t>
  </si>
  <si>
    <t xml:space="preserve">mostly obsolete by Type 3 Radiant Steering, turn is better by 9.7%</t>
  </si>
  <si>
    <t xml:space="preserve">"Chyyra" Inductive Thruster</t>
  </si>
  <si>
    <t xml:space="preserve">"Niis" Inductive Engines</t>
  </si>
  <si>
    <t xml:space="preserve">"Veusa" Inductive Steering</t>
  </si>
  <si>
    <t xml:space="preserve">A120 Atomic Thruster</t>
  </si>
  <si>
    <t xml:space="preserve">A125 Atomic Steering</t>
  </si>
  <si>
    <t xml:space="preserve">A250 Atomic Thruster</t>
  </si>
  <si>
    <t xml:space="preserve">A255 Atomic Steering</t>
  </si>
  <si>
    <t xml:space="preserve">A370 Atomic Thruster</t>
  </si>
  <si>
    <t xml:space="preserve">mostly obsolete by Small Graviton Thruster, total energy is better by 8.9%</t>
  </si>
  <si>
    <t xml:space="preserve">A375 Atomic Steering</t>
  </si>
  <si>
    <t xml:space="preserve">A520 Atomic Thruster</t>
  </si>
  <si>
    <t xml:space="preserve">mostly obsolete by Medium Graviton Thruster, thrust is better by 2.4%</t>
  </si>
  <si>
    <t xml:space="preserve">A525 Atomic Steering</t>
  </si>
  <si>
    <t xml:space="preserve">mostly obsolete by Smelter-Class Steering, turn energy is better by 21.3%</t>
  </si>
  <si>
    <t xml:space="preserve">A860 Atomic Thruster</t>
  </si>
  <si>
    <t xml:space="preserve">mostly obsolete by Large Graviton Thruster, thrust is better by 8.1%</t>
  </si>
  <si>
    <t xml:space="preserve">A865 Atomic Steering</t>
  </si>
  <si>
    <t xml:space="preserve">Chiisana Rift Steering</t>
  </si>
  <si>
    <t xml:space="preserve">Chiisana Rift Thruster</t>
  </si>
  <si>
    <t xml:space="preserve">Chipmunk Plasma Steering</t>
  </si>
  <si>
    <t xml:space="preserve">Chipmunk Plasma Thruster</t>
  </si>
  <si>
    <t xml:space="preserve">Crucible-Class Steering</t>
  </si>
  <si>
    <t xml:space="preserve">Engine (Meteor Class)</t>
  </si>
  <si>
    <t xml:space="preserve">Forge-Class Steering</t>
  </si>
  <si>
    <t xml:space="preserve">Greyhound Plasma Steering</t>
  </si>
  <si>
    <t xml:space="preserve">Greyhound Plasma Thruster</t>
  </si>
  <si>
    <t xml:space="preserve">Impala Plasma Steering</t>
  </si>
  <si>
    <t xml:space="preserve">Impala Plasma Thruster</t>
  </si>
  <si>
    <t xml:space="preserve">Ka'het Compact Engine</t>
  </si>
  <si>
    <t xml:space="preserve">fix energy move</t>
  </si>
  <si>
    <t xml:space="preserve">Ka'het Sustainer Nacelles</t>
  </si>
  <si>
    <t xml:space="preserve">Large Steering Module</t>
  </si>
  <si>
    <t xml:space="preserve">Large Thrust Module</t>
  </si>
  <si>
    <t xml:space="preserve">Maeri Engine Nacelles</t>
  </si>
  <si>
    <t xml:space="preserve">Nami Rift Steering</t>
  </si>
  <si>
    <t xml:space="preserve">Nami Rift Thruster</t>
  </si>
  <si>
    <t xml:space="preserve">Orca Plasma Steering</t>
  </si>
  <si>
    <t xml:space="preserve">Orca Plasma Thruster</t>
  </si>
  <si>
    <t xml:space="preserve">Pug Cormet Steering</t>
  </si>
  <si>
    <t xml:space="preserve">Pug Cormet Thruster</t>
  </si>
  <si>
    <t xml:space="preserve">Pug Lohmar Steering</t>
  </si>
  <si>
    <t xml:space="preserve">Pug Lohmar Thruster</t>
  </si>
  <si>
    <t xml:space="preserve">Small Steering Module</t>
  </si>
  <si>
    <t xml:space="preserve">Small Thrust Module</t>
  </si>
  <si>
    <t xml:space="preserve">Smelter-Class Steering</t>
  </si>
  <si>
    <t xml:space="preserve">Steering (Asteroid Class)</t>
  </si>
  <si>
    <t xml:space="preserve">Steering (Comet Class)</t>
  </si>
  <si>
    <t xml:space="preserve">Steering (Lunar Class)</t>
  </si>
  <si>
    <t xml:space="preserve">Steering (Planetary Class)</t>
  </si>
  <si>
    <t xml:space="preserve">Steering (Stellar Class)</t>
  </si>
  <si>
    <t xml:space="preserve">Telis Engine Nacelles</t>
  </si>
  <si>
    <t xml:space="preserve">Thruster (Asteroid Class)</t>
  </si>
  <si>
    <t xml:space="preserve">Thruster (Comet Class)</t>
  </si>
  <si>
    <t xml:space="preserve">Thruster (Lunar Class)</t>
  </si>
  <si>
    <t xml:space="preserve">Thruster (Planetary Class)</t>
  </si>
  <si>
    <t xml:space="preserve">Thruster (Stellar Class)</t>
  </si>
  <si>
    <t xml:space="preserve">Type 1 Radiant Steering</t>
  </si>
  <si>
    <t xml:space="preserve">Type 1 Radiant Thruster</t>
  </si>
  <si>
    <t xml:space="preserve">Type 2 Radiant Steering</t>
  </si>
  <si>
    <t xml:space="preserve">Type 2 Radiant Thruster</t>
  </si>
  <si>
    <t xml:space="preserve">Type 3 Radiant Steering</t>
  </si>
  <si>
    <t xml:space="preserve">Type 3 Radiant Thruster</t>
  </si>
  <si>
    <t xml:space="preserve">Type 4 Radiant Steering</t>
  </si>
  <si>
    <t xml:space="preserve">Type 4 Radiant Thruster</t>
  </si>
  <si>
    <t xml:space="preserve">Tyrant Plasma Steering</t>
  </si>
  <si>
    <t xml:space="preserve">Tyrant Plasma Thruster</t>
  </si>
  <si>
    <t xml:space="preserve">Vapor Nuclear Rocket</t>
  </si>
  <si>
    <t xml:space="preserve">Vareti Engine Block</t>
  </si>
  <si>
    <t xml:space="preserve">X1050 Ion Engines</t>
  </si>
  <si>
    <t xml:space="preserve">X2200 Ion Steering</t>
  </si>
  <si>
    <t xml:space="preserve">mostly obsolete by Type 2 Radiant Steering, turn energy is better by 14.3%</t>
  </si>
  <si>
    <t xml:space="preserve">X2700 Ion Thruster</t>
  </si>
  <si>
    <t xml:space="preserve">mostly obsolete by Type 2 Radiant Thruster, thrust energy is better by 15.4%</t>
  </si>
  <si>
    <t xml:space="preserve">X3200 Ion Steering</t>
  </si>
  <si>
    <t xml:space="preserve">mostly obsolete by Type 3 Radiant Steering, turn energy is better by 8.3%</t>
  </si>
  <si>
    <t xml:space="preserve">X3700 Ion Thruster</t>
  </si>
  <si>
    <t xml:space="preserve">mostly obsolete by Pug Akfar Thruster, thrust energy is better by 13.6%</t>
  </si>
  <si>
    <t xml:space="preserve">X4200 Ion Steering</t>
  </si>
  <si>
    <t xml:space="preserve">mostly obsolete by Pug Cormet Steering, turn is better by 9.7%</t>
  </si>
  <si>
    <t xml:space="preserve">X4700 Ion Thruster</t>
  </si>
  <si>
    <t xml:space="preserve">mostly obsolete by Pug Cormet Thruster, thrust is better by 12.0%</t>
  </si>
  <si>
    <t xml:space="preserve">X5200 Ion Steering</t>
  </si>
  <si>
    <t xml:space="preserve">X5700 Ion Thruster</t>
  </si>
  <si>
    <t xml:space="preserve">Energy Capacity</t>
  </si>
  <si>
    <t xml:space="preserve">Small Shield Module</t>
  </si>
  <si>
    <t xml:space="preserve">Shields</t>
  </si>
  <si>
    <t xml:space="preserve">Small Shield Relay 6 and 0</t>
  </si>
  <si>
    <t xml:space="preserve">Small Shield Relay 5 and 0</t>
  </si>
  <si>
    <t xml:space="preserve">Small Shield Relay 4 and 0</t>
  </si>
  <si>
    <t xml:space="preserve">Small Shield Relay 3 and 0</t>
  </si>
  <si>
    <t xml:space="preserve">S-270 Regenerator</t>
  </si>
  <si>
    <t xml:space="preserve">Small Shield Relay 2 and 0</t>
  </si>
  <si>
    <t xml:space="preserve">Small Shield Relay 1 and 0</t>
  </si>
  <si>
    <t xml:space="preserve">Small Shield Relay</t>
  </si>
  <si>
    <t xml:space="preserve">Systems Core (Tiny)</t>
  </si>
  <si>
    <t xml:space="preserve">Small Recovery Module</t>
  </si>
  <si>
    <t xml:space="preserve">Small Shield Relay 3 and 1</t>
  </si>
  <si>
    <t xml:space="preserve">Small Shield Relay 2 and 1</t>
  </si>
  <si>
    <t xml:space="preserve">Ka'het Shield Restorer</t>
  </si>
  <si>
    <t xml:space="preserve">Small Shield Relay 1 and 1</t>
  </si>
  <si>
    <t xml:space="preserve">Small Shield Relay 0 and 1</t>
  </si>
  <si>
    <t xml:space="preserve">"Byiaa" Shield Cortex</t>
  </si>
  <si>
    <t xml:space="preserve">Large Shield Module</t>
  </si>
  <si>
    <t xml:space="preserve">D94-YV Shield Generator</t>
  </si>
  <si>
    <t xml:space="preserve">Small Shield Relay 4 and 2 </t>
  </si>
  <si>
    <t xml:space="preserve">Small Shield Relay 3 and 2</t>
  </si>
  <si>
    <t xml:space="preserve">Small Shield Relay 2 and 2</t>
  </si>
  <si>
    <t xml:space="preserve">Systems Core (Small)</t>
  </si>
  <si>
    <t xml:space="preserve">"Ej" Shield Cortex</t>
  </si>
  <si>
    <t xml:space="preserve">S-970 Regenerator</t>
  </si>
  <si>
    <t xml:space="preserve">Hai Diamond Regenerator</t>
  </si>
  <si>
    <t xml:space="preserve">Anomalous Shield Restorer</t>
  </si>
  <si>
    <t xml:space="preserve">Small Shield Relay 0 and 6</t>
  </si>
  <si>
    <t xml:space="preserve">Systems Core (Medium)</t>
  </si>
  <si>
    <t xml:space="preserve">Dark Storm Shielding</t>
  </si>
  <si>
    <t xml:space="preserve">Systems Core (Large)</t>
  </si>
  <si>
    <t xml:space="preserve">Shield Cortex Interface</t>
  </si>
  <si>
    <t xml:space="preserve">Small Repair Module</t>
  </si>
  <si>
    <t xml:space="preserve">Repair</t>
  </si>
  <si>
    <t xml:space="preserve">Shield Refactor Module</t>
  </si>
  <si>
    <t xml:space="preserve">Large Repair Module</t>
  </si>
  <si>
    <t xml:space="preserve">Small Nanite Fabricator</t>
  </si>
  <si>
    <t xml:space="preserve">Small Nanite Fabricator 0 and 1</t>
  </si>
  <si>
    <t xml:space="preserve">Small Nanite Fabricator 0 and 2</t>
  </si>
  <si>
    <t xml:space="preserve">Small Nanite Fabricator 1 and 0</t>
  </si>
  <si>
    <t xml:space="preserve">Small Nanite Fabricator 0 and 3</t>
  </si>
  <si>
    <t xml:space="preserve">Small Nanite Fabricator 1 and 1</t>
  </si>
  <si>
    <t xml:space="preserve">Small Nanite Fabricator 0 and 4</t>
  </si>
  <si>
    <t xml:space="preserve">Small Nanite Fabricator 1 and 2</t>
  </si>
  <si>
    <t xml:space="preserve">Small Nanite Fabricator 2 and 0</t>
  </si>
  <si>
    <t xml:space="preserve">Outfits Expansion</t>
  </si>
  <si>
    <t xml:space="preserve">Cargo Expansion</t>
  </si>
  <si>
    <t xml:space="preserve">Weapon Capacity</t>
  </si>
  <si>
    <t xml:space="preserve">Optical Lasing Generator</t>
  </si>
  <si>
    <t xml:space="preserve">Systems</t>
  </si>
  <si>
    <t xml:space="preserve">Green Optical Laser</t>
  </si>
  <si>
    <t xml:space="preserve">Turrets</t>
  </si>
  <si>
    <t xml:space="preserve">Bullfrog Anti-Missile</t>
  </si>
  <si>
    <t xml:space="preserve">Chameleon Anti-Missile</t>
  </si>
  <si>
    <t xml:space="preserve">Anti-Missile Turret</t>
  </si>
  <si>
    <t xml:space="preserve">Heavy Anti-Missile Turret</t>
  </si>
  <si>
    <t xml:space="preserve">Warder Anti-Missile</t>
  </si>
  <si>
    <t xml:space="preserve">Pug Anti-Missile</t>
  </si>
  <si>
    <t xml:space="preserve">Point Defense Turret</t>
  </si>
  <si>
    <t xml:space="preserve">Wanderer Anti-Missile</t>
  </si>
  <si>
    <t xml:space="preserve">Shots per second</t>
  </si>
  <si>
    <t xml:space="preserve">Ka'het Annihilator</t>
  </si>
  <si>
    <t xml:space="preserve">Guns</t>
  </si>
  <si>
    <t xml:space="preserve">Ka'het Annihilator Turret</t>
  </si>
  <si>
    <t xml:space="preserve">Grab-Strike Turret</t>
  </si>
  <si>
    <t xml:space="preserve">Yes</t>
  </si>
  <si>
    <t xml:space="preserve">Expeller Grav-Ray</t>
  </si>
  <si>
    <t xml:space="preserve">yes</t>
  </si>
  <si>
    <t xml:space="preserve">Banisher Grav-Turret</t>
  </si>
  <si>
    <t xml:space="preserve">Langrage Hyper-Heaver</t>
  </si>
  <si>
    <t xml:space="preserve">Secondary Weapons</t>
  </si>
  <si>
    <t xml:space="preserve">Yes (60)</t>
  </si>
  <si>
    <t xml:space="preserve">Inhibitor Cannon</t>
  </si>
  <si>
    <t xml:space="preserve">Inhibitor Turret</t>
  </si>
  <si>
    <t xml:space="preserve">Korath Detainer</t>
  </si>
  <si>
    <t xml:space="preserve">Shield Disruptor Turret</t>
  </si>
  <si>
    <t xml:space="preserve">Tractor Beam</t>
  </si>
  <si>
    <t xml:space="preserve">Horizon Grappler</t>
  </si>
  <si>
    <t xml:space="preserve">Thermal Repeater</t>
  </si>
  <si>
    <t xml:space="preserve">Fire-Lance</t>
  </si>
  <si>
    <t xml:space="preserve">Sunbeam</t>
  </si>
  <si>
    <t xml:space="preserve">Plasma Cannon</t>
  </si>
  <si>
    <t xml:space="preserve">Plasma Repeater</t>
  </si>
  <si>
    <t xml:space="preserve">Flamethrower</t>
  </si>
  <si>
    <t xml:space="preserve">Thermal Repeater Turret</t>
  </si>
  <si>
    <t xml:space="preserve">Sunbeam Turret</t>
  </si>
  <si>
    <t xml:space="preserve">Blaze-Pike Turret</t>
  </si>
  <si>
    <t xml:space="preserve">Dual Sunbeam Turret</t>
  </si>
  <si>
    <t xml:space="preserve">Korath Inferno</t>
  </si>
  <si>
    <t xml:space="preserve">Plasma Turret</t>
  </si>
  <si>
    <t xml:space="preserve">Ion Rain Gun</t>
  </si>
  <si>
    <t xml:space="preserve">Ion Hail Turret</t>
  </si>
  <si>
    <t xml:space="preserve">Yes (4)</t>
  </si>
  <si>
    <t xml:space="preserve">Ion Cannon</t>
  </si>
  <si>
    <t xml:space="preserve">Ka'het Nullifier</t>
  </si>
  <si>
    <t xml:space="preserve">Yes (exceptional)</t>
  </si>
  <si>
    <t xml:space="preserve">Locust Blaster</t>
  </si>
  <si>
    <t xml:space="preserve">Thrasher Cannon</t>
  </si>
  <si>
    <t xml:space="preserve">Successor Pulse Laser</t>
  </si>
  <si>
    <t xml:space="preserve">Moonbeam</t>
  </si>
  <si>
    <t xml:space="preserve">Thrasher Turret</t>
  </si>
  <si>
    <t xml:space="preserve">Overcharged Pulse Laser</t>
  </si>
  <si>
    <t xml:space="preserve">Tripulse Shredder</t>
  </si>
  <si>
    <t xml:space="preserve">Modified Blaster</t>
  </si>
  <si>
    <t xml:space="preserve">Pulse Cannon</t>
  </si>
  <si>
    <t xml:space="preserve">Ka'het Ravager Beam</t>
  </si>
  <si>
    <t xml:space="preserve">Energy Blaster</t>
  </si>
  <si>
    <t xml:space="preserve">Moonbeam Turret</t>
  </si>
  <si>
    <t xml:space="preserve">Husk-Slice</t>
  </si>
  <si>
    <t xml:space="preserve">Beam Laser</t>
  </si>
  <si>
    <t xml:space="preserve">Twin Modified Blaster</t>
  </si>
  <si>
    <t xml:space="preserve">Pug Zapper</t>
  </si>
  <si>
    <t xml:space="preserve">Heavy Blaster</t>
  </si>
  <si>
    <t xml:space="preserve">Heavy Laser</t>
  </si>
  <si>
    <t xml:space="preserve">Electron Beam</t>
  </si>
  <si>
    <t xml:space="preserve">Ka'het Ravager Turret</t>
  </si>
  <si>
    <t xml:space="preserve">Proton Gun</t>
  </si>
  <si>
    <t xml:space="preserve">Twin Blaster</t>
  </si>
  <si>
    <t xml:space="preserve">Pulse Laser Turret</t>
  </si>
  <si>
    <t xml:space="preserve">Quad Blaster Turret</t>
  </si>
  <si>
    <t xml:space="preserve">Pulse Turret</t>
  </si>
  <si>
    <t xml:space="preserve">Overcharged Laser Turret</t>
  </si>
  <si>
    <t xml:space="preserve">Husk-Slice Turret</t>
  </si>
  <si>
    <t xml:space="preserve">Particle Cannon</t>
  </si>
  <si>
    <t xml:space="preserve">Modified Blaster Turret</t>
  </si>
  <si>
    <t xml:space="preserve">Proton Turret</t>
  </si>
  <si>
    <t xml:space="preserve">Pug Zapper Turret</t>
  </si>
  <si>
    <t xml:space="preserve">Electron Turret</t>
  </si>
  <si>
    <t xml:space="preserve">Laser Turret</t>
  </si>
  <si>
    <t xml:space="preserve">Blaster Turret</t>
  </si>
  <si>
    <t xml:space="preserve">Heavy Laser Turret</t>
  </si>
  <si>
    <t xml:space="preserve">Plasma Discharger</t>
  </si>
  <si>
    <t xml:space="preserve">Pug Seeker</t>
  </si>
</sst>
</file>

<file path=xl/styles.xml><?xml version="1.0" encoding="utf-8"?>
<styleSheet xmlns="http://schemas.openxmlformats.org/spreadsheetml/2006/main">
  <numFmts count="3">
    <numFmt numFmtId="164" formatCode="General"/>
    <numFmt numFmtId="165" formatCode="#,##0.##;\-#,##0.##;;"/>
    <numFmt numFmtId="166" formatCode="0%"/>
  </numFmts>
  <fonts count="1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sz val="11"/>
      <color rgb="FF000000"/>
      <name val="Calibri"/>
      <family val="2"/>
      <charset val="1"/>
    </font>
    <font>
      <b val="true"/>
      <sz val="11"/>
      <color rgb="FF000000"/>
      <name val="Arial"/>
      <family val="0"/>
      <charset val="1"/>
    </font>
    <font>
      <b val="true"/>
      <sz val="11"/>
      <color rgb="FF000000"/>
      <name val="Arial"/>
      <family val="0"/>
    </font>
    <font>
      <b val="true"/>
      <sz val="10"/>
      <color rgb="FF000000"/>
      <name val="Arial"/>
      <family val="0"/>
      <charset val="1"/>
    </font>
    <font>
      <b val="true"/>
      <sz val="11"/>
      <color rgb="FFFFFFFF"/>
      <name val="Arial"/>
      <family val="0"/>
    </font>
    <font>
      <sz val="11"/>
      <color theme="1"/>
      <name val="Arial"/>
      <family val="0"/>
      <charset val="1"/>
    </font>
    <font>
      <b val="true"/>
      <sz val="10"/>
      <color rgb="FFFFFFFF"/>
      <name val="Arial"/>
      <family val="0"/>
      <charset val="1"/>
    </font>
    <font>
      <b val="true"/>
      <sz val="9"/>
      <name val="Arial"/>
      <family val="0"/>
      <charset val="1"/>
    </font>
    <font>
      <sz val="9"/>
      <name val="Arial"/>
      <family val="0"/>
      <charset val="1"/>
    </font>
    <font>
      <sz val="9"/>
      <color rgb="FF000000"/>
      <name val="Arial"/>
      <family val="0"/>
      <charset val="1"/>
    </font>
    <font>
      <sz val="9"/>
      <color rgb="FFB85C00"/>
      <name val="Arial"/>
      <family val="0"/>
      <charset val="1"/>
    </font>
  </fonts>
  <fills count="18">
    <fill>
      <patternFill patternType="none"/>
    </fill>
    <fill>
      <patternFill patternType="gray125"/>
    </fill>
    <fill>
      <patternFill patternType="solid">
        <fgColor rgb="FF1F4E79"/>
        <bgColor rgb="FF2F5496"/>
      </patternFill>
    </fill>
    <fill>
      <patternFill patternType="solid">
        <fgColor rgb="FFD6E4F0"/>
        <bgColor rgb="FFD9E2F3"/>
      </patternFill>
    </fill>
    <fill>
      <patternFill patternType="solid">
        <fgColor rgb="FFFFFFFF"/>
        <bgColor rgb="FFF4FAF4"/>
      </patternFill>
    </fill>
    <fill>
      <patternFill patternType="solid">
        <fgColor rgb="FFF2F6FA"/>
        <bgColor rgb="FFF4FAF4"/>
      </patternFill>
    </fill>
    <fill>
      <patternFill patternType="solid">
        <fgColor rgb="FFE8F4E8"/>
        <bgColor rgb="FFF2F2F2"/>
      </patternFill>
    </fill>
    <fill>
      <patternFill patternType="solid">
        <fgColor rgb="FFF4FAF4"/>
        <bgColor rgb="FFF2F6FA"/>
      </patternFill>
    </fill>
    <fill>
      <patternFill patternType="solid">
        <fgColor rgb="FFD9E2F3"/>
        <bgColor rgb="FFD6E4F0"/>
      </patternFill>
    </fill>
    <fill>
      <patternFill patternType="solid">
        <fgColor rgb="FFF2F2F2"/>
        <bgColor rgb="FFF2F6FA"/>
      </patternFill>
    </fill>
    <fill>
      <patternFill patternType="solid">
        <fgColor rgb="FFFFE8C0"/>
        <bgColor rgb="FFF2F2F2"/>
      </patternFill>
    </fill>
    <fill>
      <patternFill patternType="solid">
        <fgColor rgb="FFFF8000"/>
        <bgColor rgb="FFFF6600"/>
      </patternFill>
    </fill>
    <fill>
      <patternFill patternType="solid">
        <fgColor rgb="FF81D41A"/>
        <bgColor rgb="FFAAAAAA"/>
      </patternFill>
    </fill>
    <fill>
      <patternFill patternType="solid">
        <fgColor rgb="FF55308D"/>
        <bgColor rgb="FF2F5496"/>
      </patternFill>
    </fill>
    <fill>
      <patternFill patternType="solid">
        <fgColor rgb="FF158466"/>
        <bgColor rgb="FF008080"/>
      </patternFill>
    </fill>
    <fill>
      <patternFill patternType="solid">
        <fgColor rgb="FF729FCF"/>
        <bgColor rgb="FF6B7F99"/>
      </patternFill>
    </fill>
    <fill>
      <patternFill patternType="solid">
        <fgColor rgb="FF2F5496"/>
        <bgColor rgb="FF1F4E79"/>
      </patternFill>
    </fill>
    <fill>
      <patternFill patternType="solid">
        <fgColor rgb="FF6B7F99"/>
        <bgColor rgb="FF729FCF"/>
      </patternFill>
    </fill>
  </fills>
  <borders count="3">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61" wrapText="false" indent="0" shrinkToFit="false"/>
      <protection locked="true" hidden="false"/>
    </xf>
    <xf numFmtId="164" fontId="4" fillId="2" borderId="1" xfId="0" applyFont="true" applyBorder="true" applyAlignment="true" applyProtection="true">
      <alignment horizontal="center" vertical="center" textRotation="61" wrapText="true" indent="0" shrinkToFit="false"/>
      <protection locked="true" hidden="false"/>
    </xf>
    <xf numFmtId="164" fontId="5" fillId="3" borderId="1" xfId="0" applyFont="true" applyBorder="true" applyAlignment="true" applyProtection="true">
      <alignment horizontal="left" vertical="top" textRotation="0" wrapText="false" indent="0" shrinkToFit="false"/>
      <protection locked="true" hidden="false"/>
    </xf>
    <xf numFmtId="164" fontId="5" fillId="3" borderId="1" xfId="0" applyFont="true" applyBorder="true" applyAlignment="true" applyProtection="true">
      <alignment horizontal="center" vertical="top" textRotation="0" wrapText="true" indent="0" shrinkToFit="false"/>
      <protection locked="true" hidden="false"/>
    </xf>
    <xf numFmtId="164" fontId="5" fillId="4" borderId="1" xfId="0" applyFont="true" applyBorder="true" applyAlignment="true" applyProtection="true">
      <alignment horizontal="left" vertical="top" textRotation="0" wrapText="false" indent="0" shrinkToFit="false"/>
      <protection locked="true" hidden="false"/>
    </xf>
    <xf numFmtId="164" fontId="5" fillId="4" borderId="1" xfId="0" applyFont="true" applyBorder="true" applyAlignment="true" applyProtection="true">
      <alignment horizontal="center" vertical="top" textRotation="0" wrapText="tru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true" hidden="false"/>
    </xf>
    <xf numFmtId="165" fontId="5" fillId="3" borderId="1" xfId="0" applyFont="true" applyBorder="true" applyAlignment="true" applyProtection="true">
      <alignment horizontal="center" vertical="top" textRotation="0" wrapText="true" indent="0" shrinkToFit="false"/>
      <protection locked="true" hidden="false"/>
    </xf>
    <xf numFmtId="165" fontId="5" fillId="4" borderId="1" xfId="0" applyFont="true" applyBorder="true" applyAlignment="true" applyProtection="true">
      <alignment horizontal="center" vertical="top" textRotation="0" wrapText="true" indent="0" shrinkToFit="false"/>
      <protection locked="true" hidden="false"/>
    </xf>
    <xf numFmtId="164" fontId="5" fillId="3" borderId="1" xfId="0" applyFont="true" applyBorder="true" applyAlignment="true" applyProtection="true">
      <alignment horizontal="left" vertical="top" textRotation="0" wrapText="true" indent="0" shrinkToFit="false"/>
      <protection locked="true" hidden="false"/>
    </xf>
    <xf numFmtId="165" fontId="5" fillId="3" borderId="1" xfId="0" applyFont="true" applyBorder="true" applyAlignment="true" applyProtection="true">
      <alignment horizontal="center" vertical="top" textRotation="0" wrapText="false" indent="0" shrinkToFit="false"/>
      <protection locked="true" hidden="false"/>
    </xf>
    <xf numFmtId="164" fontId="5" fillId="4" borderId="1" xfId="0" applyFont="true" applyBorder="true" applyAlignment="true" applyProtection="true">
      <alignment horizontal="left" vertical="top" textRotation="0" wrapText="true" indent="0" shrinkToFit="false"/>
      <protection locked="true" hidden="false"/>
    </xf>
    <xf numFmtId="165" fontId="5" fillId="4" borderId="1" xfId="0" applyFont="true" applyBorder="true" applyAlignment="true" applyProtection="true">
      <alignment horizontal="center"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7" fillId="4" borderId="1" xfId="0" applyFont="true" applyBorder="true" applyAlignment="true" applyProtection="true">
      <alignment horizontal="center" vertical="center" textRotation="0" wrapText="false" indent="0" shrinkToFit="false"/>
      <protection locked="true" hidden="false"/>
    </xf>
    <xf numFmtId="164" fontId="7" fillId="4" borderId="1" xfId="0" applyFont="true" applyBorder="true" applyAlignment="true" applyProtection="true">
      <alignment horizontal="center" vertical="center" textRotation="0" wrapText="true" indent="0" shrinkToFit="false"/>
      <protection locked="true" hidden="false"/>
    </xf>
    <xf numFmtId="164" fontId="8" fillId="4" borderId="1" xfId="0" applyFont="true" applyBorder="true" applyAlignment="true" applyProtection="true">
      <alignment horizontal="center" vertical="center" textRotation="0" wrapText="true" indent="0" shrinkToFit="false"/>
      <protection locked="true" hidden="false"/>
    </xf>
    <xf numFmtId="164" fontId="9" fillId="4" borderId="2" xfId="0" applyFont="true" applyBorder="true" applyAlignment="true" applyProtection="true">
      <alignment horizontal="center" vertical="center" textRotation="0" wrapText="false" indent="0" shrinkToFit="false"/>
      <protection locked="true" hidden="false"/>
    </xf>
    <xf numFmtId="164" fontId="9" fillId="4" borderId="2" xfId="0" applyFont="true" applyBorder="true" applyAlignment="true" applyProtection="true">
      <alignment horizontal="left" vertical="center" textRotation="0" wrapText="false" indent="0" shrinkToFit="false"/>
      <protection locked="true" hidden="false"/>
    </xf>
    <xf numFmtId="164" fontId="10" fillId="2" borderId="1" xfId="0" applyFont="true" applyBorder="true" applyAlignment="true" applyProtection="true">
      <alignment horizontal="center" vertical="center" textRotation="61" wrapText="true" indent="0" shrinkToFit="false"/>
      <protection locked="true" hidden="false"/>
    </xf>
    <xf numFmtId="164" fontId="8" fillId="2" borderId="1" xfId="0" applyFont="true" applyBorder="true" applyAlignment="true" applyProtection="true">
      <alignment horizontal="center" vertical="center" textRotation="61" wrapText="true" indent="0" shrinkToFit="false"/>
      <protection locked="true" hidden="false"/>
    </xf>
    <xf numFmtId="164" fontId="11" fillId="5" borderId="0" xfId="0" applyFont="true" applyBorder="false" applyAlignment="true" applyProtection="true">
      <alignment horizontal="left" vertical="bottom" textRotation="0" wrapText="false" indent="0" shrinkToFit="false"/>
      <protection locked="true" hidden="false"/>
    </xf>
    <xf numFmtId="165" fontId="11" fillId="5" borderId="0" xfId="0" applyFont="true" applyBorder="false" applyAlignment="true" applyProtection="true">
      <alignment horizontal="center" vertical="bottom" textRotation="0" wrapText="false" indent="0" shrinkToFit="false"/>
      <protection locked="true" hidden="false"/>
    </xf>
    <xf numFmtId="164" fontId="11" fillId="4" borderId="0" xfId="0" applyFont="true" applyBorder="false" applyAlignment="true" applyProtection="true">
      <alignment horizontal="left" vertical="bottom" textRotation="0" wrapText="false" indent="0" shrinkToFit="false"/>
      <protection locked="true" hidden="false"/>
    </xf>
    <xf numFmtId="165" fontId="11" fillId="4" borderId="0" xfId="0" applyFont="true" applyBorder="false" applyAlignment="true" applyProtection="true">
      <alignment horizontal="center" vertical="bottom" textRotation="0" wrapText="false" indent="0" shrinkToFit="false"/>
      <protection locked="true" hidden="false"/>
    </xf>
    <xf numFmtId="164" fontId="11" fillId="6" borderId="0" xfId="0" applyFont="true" applyBorder="false" applyAlignment="true" applyProtection="true">
      <alignment horizontal="left" vertical="bottom" textRotation="0" wrapText="false" indent="0" shrinkToFit="false"/>
      <protection locked="true" hidden="false"/>
    </xf>
    <xf numFmtId="165" fontId="11" fillId="6" borderId="0" xfId="0" applyFont="true" applyBorder="false" applyAlignment="true" applyProtection="true">
      <alignment horizontal="center" vertical="bottom" textRotation="0" wrapText="false" indent="0" shrinkToFit="false"/>
      <protection locked="true" hidden="false"/>
    </xf>
    <xf numFmtId="164" fontId="11" fillId="7" borderId="0" xfId="0" applyFont="true" applyBorder="false" applyAlignment="true" applyProtection="true">
      <alignment horizontal="left" vertical="bottom" textRotation="0" wrapText="false" indent="0" shrinkToFit="false"/>
      <protection locked="true" hidden="false"/>
    </xf>
    <xf numFmtId="165" fontId="11" fillId="7" borderId="0" xfId="0" applyFont="true" applyBorder="false" applyAlignment="true" applyProtection="true">
      <alignment horizontal="center" vertical="bottom" textRotation="0" wrapText="false" indent="0" shrinkToFit="false"/>
      <protection locked="true" hidden="false"/>
    </xf>
    <xf numFmtId="165" fontId="11" fillId="5" borderId="0" xfId="0" applyFont="true" applyBorder="false" applyAlignment="true" applyProtection="true">
      <alignment horizontal="left" vertical="bottom" textRotation="0" wrapText="false" indent="0" shrinkToFit="false"/>
      <protection locked="true" hidden="false"/>
    </xf>
    <xf numFmtId="164" fontId="12" fillId="2" borderId="2" xfId="0" applyFont="true" applyBorder="true" applyAlignment="true" applyProtection="true">
      <alignment horizontal="center" vertical="center" textRotation="61" wrapText="true" indent="0" shrinkToFit="false"/>
      <protection locked="true" hidden="false"/>
    </xf>
    <xf numFmtId="164" fontId="13" fillId="8" borderId="2" xfId="0" applyFont="true" applyBorder="true" applyAlignment="true" applyProtection="true">
      <alignment horizontal="left" vertical="center" textRotation="0" wrapText="false" indent="0" shrinkToFit="false"/>
      <protection locked="true" hidden="false"/>
    </xf>
    <xf numFmtId="165" fontId="14" fillId="4" borderId="2" xfId="0" applyFont="true" applyBorder="true" applyAlignment="true" applyProtection="true">
      <alignment horizontal="center" vertical="center" textRotation="0" wrapText="false" indent="0" shrinkToFit="false"/>
      <protection locked="true" hidden="false"/>
    </xf>
    <xf numFmtId="165" fontId="14" fillId="9" borderId="2" xfId="0" applyFont="true" applyBorder="true" applyAlignment="true" applyProtection="true">
      <alignment horizontal="center" vertical="center" textRotation="0" wrapText="false" indent="0" shrinkToFit="false"/>
      <protection locked="true" hidden="false"/>
    </xf>
    <xf numFmtId="165" fontId="14" fillId="8" borderId="2" xfId="0" applyFont="true" applyBorder="true" applyAlignment="true" applyProtection="true">
      <alignment horizontal="center" vertical="center" textRotation="0" wrapText="false" indent="0" shrinkToFit="false"/>
      <protection locked="true" hidden="false"/>
    </xf>
    <xf numFmtId="164" fontId="15" fillId="8" borderId="2" xfId="0" applyFont="true" applyBorder="true" applyAlignment="true" applyProtection="true">
      <alignment horizontal="left" vertical="center" textRotation="0" wrapText="false" indent="0" shrinkToFit="false"/>
      <protection locked="true" hidden="false"/>
    </xf>
    <xf numFmtId="164" fontId="13" fillId="4" borderId="2" xfId="0" applyFont="true" applyBorder="true" applyAlignment="true" applyProtection="true">
      <alignment horizontal="left" vertical="center" textRotation="0" wrapText="false" indent="0" shrinkToFit="false"/>
      <protection locked="true" hidden="false"/>
    </xf>
    <xf numFmtId="164" fontId="15" fillId="4" borderId="2" xfId="0" applyFont="true" applyBorder="true" applyAlignment="true" applyProtection="true">
      <alignment horizontal="left" vertical="center" textRotation="0" wrapText="false" indent="0" shrinkToFit="false"/>
      <protection locked="true" hidden="false"/>
    </xf>
    <xf numFmtId="164" fontId="16" fillId="10" borderId="2" xfId="0" applyFont="true" applyBorder="true" applyAlignment="true" applyProtection="true">
      <alignment horizontal="left" vertical="center" textRotation="0" wrapText="false" indent="0" shrinkToFit="false"/>
      <protection locked="true" hidden="false"/>
    </xf>
    <xf numFmtId="164" fontId="14" fillId="8" borderId="2" xfId="0" applyFont="true" applyBorder="true" applyAlignment="true" applyProtection="true">
      <alignment horizontal="left" vertical="center" textRotation="0" wrapText="false" indent="0" shrinkToFit="false"/>
      <protection locked="true" hidden="false"/>
    </xf>
    <xf numFmtId="164" fontId="14" fillId="4" borderId="2" xfId="0" applyFont="true" applyBorder="true" applyAlignment="true" applyProtection="true">
      <alignment horizontal="left" vertical="center" textRotation="0" wrapText="false" indent="0" shrinkToFit="false"/>
      <protection locked="true" hidden="false"/>
    </xf>
    <xf numFmtId="164" fontId="4" fillId="11" borderId="1" xfId="0" applyFont="true" applyBorder="true" applyAlignment="true" applyProtection="true">
      <alignment horizontal="center" vertical="center" textRotation="61" wrapText="true" indent="0" shrinkToFit="false"/>
      <protection locked="true" hidden="false"/>
    </xf>
    <xf numFmtId="164" fontId="4" fillId="12" borderId="1" xfId="0" applyFont="true" applyBorder="true" applyAlignment="true" applyProtection="true">
      <alignment horizontal="center" vertical="center" textRotation="61" wrapText="true" indent="0" shrinkToFit="false"/>
      <protection locked="true" hidden="false"/>
    </xf>
    <xf numFmtId="164" fontId="4" fillId="13" borderId="1" xfId="0" applyFont="true" applyBorder="true" applyAlignment="true" applyProtection="true">
      <alignment horizontal="center" vertical="center" textRotation="61" wrapText="true" indent="0" shrinkToFit="false"/>
      <protection locked="true" hidden="false"/>
    </xf>
    <xf numFmtId="164" fontId="4" fillId="14" borderId="1" xfId="0" applyFont="true" applyBorder="true" applyAlignment="true" applyProtection="true">
      <alignment horizontal="center" vertical="center" textRotation="61" wrapText="true" indent="0" shrinkToFit="false"/>
      <protection locked="true" hidden="false"/>
    </xf>
    <xf numFmtId="164" fontId="4" fillId="15" borderId="1" xfId="0" applyFont="true" applyBorder="true" applyAlignment="true" applyProtection="true">
      <alignment horizontal="center" vertical="center" textRotation="61" wrapText="true" indent="0" shrinkToFit="false"/>
      <protection locked="true" hidden="false"/>
    </xf>
    <xf numFmtId="164" fontId="5" fillId="4" borderId="1" xfId="0" applyFont="true" applyBorder="true" applyAlignment="true" applyProtection="true">
      <alignment horizontal="left" vertical="center" textRotation="0" wrapText="false" indent="0" shrinkToFit="false"/>
      <protection locked="true" hidden="false"/>
    </xf>
    <xf numFmtId="164" fontId="5" fillId="4" borderId="1" xfId="0" applyFont="true" applyBorder="true" applyAlignment="true" applyProtection="true">
      <alignment horizontal="center" vertical="center" textRotation="0" wrapText="false" indent="0" shrinkToFit="false"/>
      <protection locked="true" hidden="false"/>
    </xf>
    <xf numFmtId="165" fontId="5" fillId="4" borderId="1" xfId="0" applyFont="true" applyBorder="true" applyAlignment="true" applyProtection="true">
      <alignment horizontal="center" vertical="center" textRotation="0" wrapText="false" indent="0" shrinkToFit="false"/>
      <protection locked="true" hidden="false"/>
    </xf>
    <xf numFmtId="165" fontId="5" fillId="3" borderId="1" xfId="0" applyFont="true" applyBorder="true" applyAlignment="true" applyProtection="true">
      <alignment horizontal="center" vertical="center" textRotation="0" wrapText="false" indent="0" shrinkToFit="false"/>
      <protection locked="true" hidden="false"/>
    </xf>
    <xf numFmtId="164" fontId="5" fillId="3" borderId="1"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5" fillId="3" borderId="1" xfId="0" applyFont="true" applyBorder="true" applyAlignment="true" applyProtection="true">
      <alignment horizontal="left" vertical="center" textRotation="0" wrapText="false" indent="0" shrinkToFit="false"/>
      <protection locked="true" hidden="false"/>
    </xf>
    <xf numFmtId="166" fontId="5" fillId="3" borderId="1" xfId="0" applyFont="true" applyBorder="true" applyAlignment="true" applyProtection="true">
      <alignment horizontal="center" vertical="center" textRotation="0" wrapText="false" indent="0" shrinkToFit="false"/>
      <protection locked="true" hidden="false"/>
    </xf>
    <xf numFmtId="166" fontId="5" fillId="4" borderId="1" xfId="0" applyFont="true" applyBorder="true" applyAlignment="true" applyProtection="true">
      <alignment horizontal="center" vertical="center" textRotation="0" wrapText="false" indent="0" shrinkToFit="false"/>
      <protection locked="true" hidden="false"/>
    </xf>
    <xf numFmtId="164" fontId="12" fillId="2" borderId="2" xfId="0" applyFont="true" applyBorder="true" applyAlignment="true" applyProtection="true">
      <alignment horizontal="center" vertical="center" textRotation="61" wrapText="false" indent="0" shrinkToFit="false"/>
      <protection locked="true" hidden="false"/>
    </xf>
    <xf numFmtId="164" fontId="13" fillId="3" borderId="2" xfId="0" applyFont="true" applyBorder="true" applyAlignment="true" applyProtection="true">
      <alignment horizontal="left" vertical="center" textRotation="0" wrapText="false" indent="0" shrinkToFit="false"/>
      <protection locked="true" hidden="false"/>
    </xf>
    <xf numFmtId="164" fontId="14" fillId="3" borderId="2" xfId="0" applyFont="true" applyBorder="true" applyAlignment="true" applyProtection="true">
      <alignment horizontal="center" vertical="center" textRotation="0" wrapText="false" indent="0" shrinkToFit="false"/>
      <protection locked="true" hidden="false"/>
    </xf>
    <xf numFmtId="165" fontId="14" fillId="3" borderId="2" xfId="0" applyFont="true" applyBorder="true" applyAlignment="true" applyProtection="true">
      <alignment horizontal="center" vertical="center" textRotation="0" wrapText="false" indent="0" shrinkToFit="false"/>
      <protection locked="true" hidden="false"/>
    </xf>
    <xf numFmtId="164" fontId="14" fillId="4" borderId="2" xfId="0" applyFont="true" applyBorder="true" applyAlignment="true" applyProtection="true">
      <alignment horizontal="center" vertical="center" textRotation="0" wrapText="false" indent="0" shrinkToFit="false"/>
      <protection locked="true" hidden="false"/>
    </xf>
    <xf numFmtId="164" fontId="12" fillId="16" borderId="2" xfId="0" applyFont="true" applyBorder="true" applyAlignment="true" applyProtection="true">
      <alignment horizontal="center" vertical="center" textRotation="61" wrapText="true" indent="0" shrinkToFit="false"/>
      <protection locked="true" hidden="false"/>
    </xf>
    <xf numFmtId="164" fontId="12" fillId="17" borderId="2" xfId="0" applyFont="true" applyBorder="true" applyAlignment="true" applyProtection="true">
      <alignment horizontal="center" vertical="center" textRotation="61" wrapText="true" indent="0" shrinkToFit="false"/>
      <protection locked="true" hidden="false"/>
    </xf>
    <xf numFmtId="164" fontId="0" fillId="0" borderId="0" xfId="0" applyFont="false" applyBorder="false" applyAlignment="true" applyProtection="true">
      <alignment horizontal="general" vertical="bottom" textRotation="61"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5">
    <dxf>
      <font>
        <name val="Calibri"/>
        <charset val="1"/>
        <family val="2"/>
        <color rgb="FF006600"/>
        <sz val="11"/>
      </font>
      <fill>
        <patternFill>
          <bgColor rgb="FFCCFFCC"/>
        </patternFill>
      </fill>
      <alignment horizontal="general" vertical="bottom" textRotation="0" wrapText="false" indent="0" shrinkToFit="false"/>
    </dxf>
    <dxf>
      <font>
        <name val="Calibri"/>
        <charset val="1"/>
        <family val="2"/>
        <color rgb="FFCC0000"/>
        <sz val="11"/>
      </font>
      <fill>
        <patternFill>
          <bgColor rgb="FFFFCCCC"/>
        </patternFill>
      </fill>
      <alignment horizontal="general" vertical="bottom" textRotation="0" wrapText="false" indent="0" shrinkToFit="false"/>
    </dxf>
    <dxf>
      <fill>
        <patternFill patternType="solid">
          <fgColor rgb="FFFFFFFF"/>
          <bgColor rgb="FF000000"/>
        </patternFill>
      </fill>
    </dxf>
    <dxf>
      <fill>
        <patternFill patternType="solid">
          <fgColor rgb="FF000000"/>
          <bgColor rgb="FF000000"/>
        </patternFill>
      </fill>
    </dxf>
    <dxf>
      <fill>
        <patternFill patternType="solid">
          <bgColor rgb="FF000000"/>
        </patternFill>
      </fill>
    </dxf>
    <dxf>
      <fill>
        <patternFill patternType="solid">
          <fgColor rgb="FFCCFFCC"/>
          <bgColor rgb="FF000000"/>
        </patternFill>
      </fill>
    </dxf>
    <dxf>
      <fill>
        <patternFill patternType="solid">
          <fgColor rgb="FFD6E4F0"/>
          <bgColor rgb="FF000000"/>
        </patternFill>
      </fill>
    </dxf>
    <dxf>
      <fill>
        <patternFill patternType="solid">
          <fgColor rgb="FF006600"/>
          <bgColor rgb="FF000000"/>
        </patternFill>
      </fill>
    </dxf>
    <dxf>
      <fill>
        <patternFill patternType="solid">
          <fgColor rgb="FF1F4E79"/>
          <bgColor rgb="FF000000"/>
        </patternFill>
      </fill>
    </dxf>
    <dxf>
      <fill>
        <patternFill patternType="solid">
          <fgColor rgb="FFE8F4E8"/>
          <bgColor rgb="FF000000"/>
        </patternFill>
      </fill>
    </dxf>
    <dxf>
      <fill>
        <patternFill patternType="solid">
          <fgColor rgb="FFF2F6FA"/>
          <bgColor rgb="FF000000"/>
        </patternFill>
      </fill>
    </dxf>
    <dxf>
      <fill>
        <patternFill patternType="solid">
          <fgColor rgb="FFF4FAF4"/>
          <bgColor rgb="FF000000"/>
        </patternFill>
      </fill>
    </dxf>
    <dxf>
      <fill>
        <patternFill patternType="solid">
          <fgColor rgb="FFFFCCCC"/>
          <bgColor rgb="FF000000"/>
        </patternFill>
      </fill>
    </dxf>
    <dxf>
      <fill>
        <patternFill patternType="solid">
          <fgColor rgb="FFCC0000"/>
          <bgColor rgb="FF000000"/>
        </patternFill>
      </fill>
    </dxf>
    <dxf>
      <fill>
        <patternFill patternType="solid">
          <fgColor rgb="FFD9E2F3"/>
          <bgColor rgb="FF000000"/>
        </patternFill>
      </fill>
    </dxf>
    <dxf>
      <fill>
        <patternFill patternType="solid">
          <fgColor rgb="FFF2F2F2"/>
          <bgColor rgb="FF000000"/>
        </patternFill>
      </fill>
    </dxf>
    <dxf>
      <fill>
        <patternFill patternType="solid">
          <fgColor rgb="FFFFE8C0"/>
          <bgColor rgb="FF000000"/>
        </patternFill>
      </fill>
    </dxf>
    <dxf>
      <fill>
        <patternFill patternType="solid">
          <fgColor rgb="FFB85C00"/>
          <bgColor rgb="FF000000"/>
        </patternFill>
      </fill>
    </dxf>
    <dxf>
      <fill>
        <patternFill patternType="solid">
          <fgColor rgb="FFFF8000"/>
          <bgColor rgb="FF000000"/>
        </patternFill>
      </fill>
    </dxf>
    <dxf>
      <fill>
        <patternFill patternType="solid">
          <fgColor rgb="FF81D41A"/>
          <bgColor rgb="FF000000"/>
        </patternFill>
      </fill>
    </dxf>
    <dxf>
      <fill>
        <patternFill patternType="solid">
          <fgColor rgb="FF55308D"/>
          <bgColor rgb="FF000000"/>
        </patternFill>
      </fill>
    </dxf>
    <dxf>
      <fill>
        <patternFill patternType="solid">
          <fgColor rgb="FF158466"/>
          <bgColor rgb="FF000000"/>
        </patternFill>
      </fill>
    </dxf>
    <dxf>
      <fill>
        <patternFill patternType="solid">
          <fgColor rgb="FF729FCF"/>
          <bgColor rgb="FF000000"/>
        </patternFill>
      </fill>
    </dxf>
    <dxf>
      <fill>
        <patternFill patternType="solid">
          <fgColor rgb="FF2F5496"/>
          <bgColor rgb="FF000000"/>
        </patternFill>
      </fill>
    </dxf>
    <dxf>
      <fill>
        <patternFill patternType="solid">
          <fgColor rgb="FF6B7F99"/>
          <bgColor rgb="FF000000"/>
        </patternFill>
      </fill>
    </dxf>
  </dxfs>
  <colors>
    <indexedColors>
      <rgbColor rgb="FF000000"/>
      <rgbColor rgb="FFFFFFFF"/>
      <rgbColor rgb="FFCC0000"/>
      <rgbColor rgb="FF00FF00"/>
      <rgbColor rgb="FF0000FF"/>
      <rgbColor rgb="FFFFFF00"/>
      <rgbColor rgb="FFFF00FF"/>
      <rgbColor rgb="FF00FFFF"/>
      <rgbColor rgb="FF800000"/>
      <rgbColor rgb="FF006600"/>
      <rgbColor rgb="FF000080"/>
      <rgbColor rgb="FF808000"/>
      <rgbColor rgb="FF800080"/>
      <rgbColor rgb="FF158466"/>
      <rgbColor rgb="FFBFBFBF"/>
      <rgbColor rgb="FF6B7F99"/>
      <rgbColor rgb="FF729FCF"/>
      <rgbColor rgb="FF993366"/>
      <rgbColor rgb="FFF4FAF4"/>
      <rgbColor rgb="FFE8F4E8"/>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D6E4F0"/>
      <rgbColor rgb="FFCCFFCC"/>
      <rgbColor rgb="FFFFE8C0"/>
      <rgbColor rgb="FFF2F2F2"/>
      <rgbColor rgb="FFF2F6FA"/>
      <rgbColor rgb="FFCC99FF"/>
      <rgbColor rgb="FFFFCCCC"/>
      <rgbColor rgb="FF3366FF"/>
      <rgbColor rgb="FF33CCCC"/>
      <rgbColor rgb="FF81D41A"/>
      <rgbColor rgb="FFFFCC00"/>
      <rgbColor rgb="FFFF8000"/>
      <rgbColor rgb="FFFF6600"/>
      <rgbColor rgb="FF2F5496"/>
      <rgbColor rgb="FFAAAAAA"/>
      <rgbColor rgb="FF1F4E79"/>
      <rgbColor rgb="FF339966"/>
      <rgbColor rgb="FF003300"/>
      <rgbColor rgb="FF333300"/>
      <rgbColor rgb="FFB85C00"/>
      <rgbColor rgb="FF993366"/>
      <rgbColor rgb="FF55308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drawing" Target="../drawings/drawing7.xml"/>
</Relationships>
</file>

<file path=xl/worksheets/_rels/sheet14.xml.rels><?xml version="1.0" encoding="UTF-8"?>
<Relationships xmlns="http://schemas.openxmlformats.org/package/2006/relationships"><Relationship Id="rId1" Type="http://schemas.openxmlformats.org/officeDocument/2006/relationships/drawing" Target="../drawings/drawing8.xml"/>
</Relationships>
</file>

<file path=xl/worksheets/_rels/sheet15.xml.rels><?xml version="1.0" encoding="UTF-8"?>
<Relationships xmlns="http://schemas.openxmlformats.org/package/2006/relationships"><Relationship Id="rId1" Type="http://schemas.openxmlformats.org/officeDocument/2006/relationships/drawing" Target="../drawings/drawing9.xml"/>
</Relationships>
</file>

<file path=xl/worksheets/_rels/sheet16.xml.rels><?xml version="1.0" encoding="UTF-8"?>
<Relationships xmlns="http://schemas.openxmlformats.org/package/2006/relationships"><Relationship Id="rId1" Type="http://schemas.openxmlformats.org/officeDocument/2006/relationships/drawing" Target="../drawings/drawing10.xml"/>
</Relationships>
</file>

<file path=xl/worksheets/_rels/sheet17.xml.rels><?xml version="1.0" encoding="UTF-8"?>
<Relationships xmlns="http://schemas.openxmlformats.org/package/2006/relationships"><Relationship Id="rId1" Type="http://schemas.openxmlformats.org/officeDocument/2006/relationships/drawing" Target="../drawings/drawing11.xml"/>
</Relationships>
</file>

<file path=xl/worksheets/_rels/sheet18.xml.rels><?xml version="1.0" encoding="UTF-8"?>
<Relationships xmlns="http://schemas.openxmlformats.org/package/2006/relationships"><Relationship Id="rId1" Type="http://schemas.openxmlformats.org/officeDocument/2006/relationships/drawing" Target="../drawings/drawing12.xml"/>
</Relationships>
</file>

<file path=xl/worksheets/_rels/sheet19.xml.rels><?xml version="1.0" encoding="UTF-8"?>
<Relationships xmlns="http://schemas.openxmlformats.org/package/2006/relationships"><Relationship Id="rId1" Type="http://schemas.openxmlformats.org/officeDocument/2006/relationships/drawing" Target="../drawings/drawing13.xml"/>
</Relationships>
</file>

<file path=xl/worksheets/_rels/sheet20.xml.rels><?xml version="1.0" encoding="UTF-8"?>
<Relationships xmlns="http://schemas.openxmlformats.org/package/2006/relationships"><Relationship Id="rId1" Type="http://schemas.openxmlformats.org/officeDocument/2006/relationships/drawing" Target="../drawings/drawing1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15" activeCellId="0" sqref="I15"/>
    </sheetView>
  </sheetViews>
  <sheetFormatPr defaultColWidth="8.59765625" defaultRowHeight="15" zeroHeight="false" outlineLevelRow="0" outlineLevelCol="0"/>
  <cols>
    <col collapsed="false" customWidth="true" hidden="false" outlineLevel="0" max="1" min="1" style="1" width="15.13"/>
    <col collapsed="false" customWidth="true" hidden="false" outlineLevel="0" max="11" min="2" style="1" width="6.74"/>
    <col collapsed="false" customWidth="true" hidden="false" outlineLevel="0" max="99" min="12" style="0" width="6.74"/>
  </cols>
  <sheetData>
    <row r="1" customFormat="false" ht="90.7" hidden="false" customHeight="true" outlineLevel="0" collapsed="false">
      <c r="A1" s="2" t="s">
        <v>0</v>
      </c>
      <c r="B1" s="3" t="s">
        <v>1</v>
      </c>
      <c r="C1" s="3" t="s">
        <v>2</v>
      </c>
    </row>
    <row r="2" customFormat="false" ht="15" hidden="false" customHeight="false" outlineLevel="0" collapsed="false">
      <c r="A2" s="4" t="s">
        <v>3</v>
      </c>
      <c r="B2" s="5" t="n">
        <v>20</v>
      </c>
      <c r="C2" s="5" t="n">
        <v>100</v>
      </c>
    </row>
    <row r="3" customFormat="false" ht="15" hidden="false" customHeight="false" outlineLevel="0" collapsed="false">
      <c r="A3" s="6" t="s">
        <v>4</v>
      </c>
      <c r="B3" s="7" t="n">
        <v>20</v>
      </c>
      <c r="C3" s="7" t="n">
        <v>200</v>
      </c>
    </row>
    <row r="4" customFormat="false" ht="15" hidden="false" customHeight="false" outlineLevel="0" collapsed="false">
      <c r="A4" s="4" t="s">
        <v>5</v>
      </c>
      <c r="B4" s="5" t="n">
        <v>1</v>
      </c>
      <c r="C4" s="5"/>
    </row>
  </sheetData>
  <conditionalFormatting sqref="A1:C1">
    <cfRule type="expression" priority="2" aboveAverage="0" equalAverage="0" bottom="0" percent="0" rank="0" text="" dxfId="0">
      <formula>AND(OR(COUNTIF('master sheet'!$A$2:$A$111,A1)&gt;0,COUNTIF('master sheet'!$C$2:$C$111,A1)&gt;0),IF(COUNTIF('master sheet'!$A$2:$A$111,A1)&gt;0,INDEX('master sheet'!$B$2:$B$111,MATCH(A1,'master sheet'!$A$2:$A$111,0)),INDEX('master sheet'!$B$2:$B$111,MATCH(A1,'master sheet'!$C$2:$C$111,0)))&lt;&gt;"")</formula>
    </cfRule>
  </conditionalFormatting>
  <conditionalFormatting sqref="A1:C1">
    <cfRule type="expression" priority="3" aboveAverage="0" equalAverage="0" bottom="0" percent="0" rank="0" text="" dxfId="1">
      <formula>AND(COUNTIF('master sheet'!$A$2:$A$111,A1)=0,COUNTIF('master sheet'!$C$2:$C$111,A1)=0)</formula>
    </cfRule>
  </conditionalFormatting>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&amp;C&amp;"Arial,Regular"&amp;10&amp;Kffffff&amp;A</oddHeader>
    <oddFooter>&amp;C&amp;"Arial,Regular"&amp;10&amp;KffffffPage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1" activeCellId="0" sqref="I1"/>
    </sheetView>
  </sheetViews>
  <sheetFormatPr defaultColWidth="8.59765625" defaultRowHeight="13.8" zeroHeight="false" outlineLevelRow="0" outlineLevelCol="0"/>
  <cols>
    <col collapsed="false" customWidth="true" hidden="false" outlineLevel="0" max="1" min="1" style="1" width="28"/>
    <col collapsed="false" customWidth="false" hidden="false" outlineLevel="0" max="14" min="2" style="1" width="8.57"/>
  </cols>
  <sheetData>
    <row r="1" customFormat="false" ht="90.7" hidden="false" customHeight="true" outlineLevel="0" collapsed="false">
      <c r="A1" s="8" t="s">
        <v>0</v>
      </c>
      <c r="B1" s="3" t="s">
        <v>1</v>
      </c>
      <c r="C1" s="3" t="s">
        <v>6</v>
      </c>
      <c r="D1" s="3" t="s">
        <v>7</v>
      </c>
      <c r="E1" s="3" t="s">
        <v>8</v>
      </c>
      <c r="F1" s="3" t="s">
        <v>9</v>
      </c>
      <c r="G1" s="3" t="s">
        <v>10</v>
      </c>
      <c r="H1" s="3" t="s">
        <v>11</v>
      </c>
      <c r="I1" s="3" t="s">
        <v>12</v>
      </c>
    </row>
    <row r="2" customFormat="false" ht="13.8" hidden="false" customHeight="false" outlineLevel="0" collapsed="false">
      <c r="A2" s="4" t="s">
        <v>13</v>
      </c>
      <c r="B2" s="9" t="n">
        <v>4</v>
      </c>
      <c r="C2" s="9"/>
      <c r="D2" s="9"/>
      <c r="E2" s="9" t="n">
        <v>2</v>
      </c>
      <c r="F2" s="9"/>
      <c r="G2" s="9"/>
      <c r="H2" s="9"/>
      <c r="I2" s="9"/>
    </row>
    <row r="3" customFormat="false" ht="13.8" hidden="false" customHeight="false" outlineLevel="0" collapsed="false">
      <c r="A3" s="6" t="s">
        <v>14</v>
      </c>
      <c r="B3" s="10" t="n">
        <v>14</v>
      </c>
      <c r="C3" s="10"/>
      <c r="D3" s="10"/>
      <c r="E3" s="10" t="n">
        <v>10</v>
      </c>
      <c r="F3" s="10"/>
      <c r="G3" s="10"/>
      <c r="H3" s="10"/>
      <c r="I3" s="10"/>
    </row>
    <row r="4" customFormat="false" ht="13.8" hidden="false" customHeight="false" outlineLevel="0" collapsed="false">
      <c r="A4" s="4" t="s">
        <v>15</v>
      </c>
      <c r="B4" s="9" t="n">
        <v>7</v>
      </c>
      <c r="C4" s="9" t="n">
        <v>48</v>
      </c>
      <c r="D4" s="9"/>
      <c r="E4" s="9"/>
      <c r="F4" s="9" t="n">
        <v>15</v>
      </c>
      <c r="G4" s="9"/>
      <c r="H4" s="9"/>
      <c r="I4" s="9"/>
    </row>
    <row r="5" customFormat="false" ht="13.8" hidden="false" customHeight="false" outlineLevel="0" collapsed="false">
      <c r="A5" s="6" t="s">
        <v>16</v>
      </c>
      <c r="B5" s="10" t="n">
        <v>7</v>
      </c>
      <c r="C5" s="10" t="n">
        <v>72</v>
      </c>
      <c r="D5" s="10"/>
      <c r="E5" s="10"/>
      <c r="F5" s="10" t="n">
        <v>20</v>
      </c>
      <c r="G5" s="10"/>
      <c r="H5" s="10"/>
      <c r="I5" s="10"/>
    </row>
    <row r="6" customFormat="false" ht="13.8" hidden="false" customHeight="false" outlineLevel="0" collapsed="false">
      <c r="A6" s="4" t="s">
        <v>17</v>
      </c>
      <c r="B6" s="9" t="n">
        <v>7</v>
      </c>
      <c r="C6" s="9"/>
      <c r="D6" s="9"/>
      <c r="E6" s="9" t="n">
        <v>5</v>
      </c>
      <c r="F6" s="9"/>
      <c r="G6" s="9" t="n">
        <v>2</v>
      </c>
      <c r="H6" s="9"/>
      <c r="I6" s="9"/>
    </row>
    <row r="7" customFormat="false" ht="13.8" hidden="false" customHeight="false" outlineLevel="0" collapsed="false">
      <c r="A7" s="6" t="s">
        <v>18</v>
      </c>
      <c r="B7" s="10" t="n">
        <v>4</v>
      </c>
      <c r="C7" s="10"/>
      <c r="D7" s="10"/>
      <c r="E7" s="10"/>
      <c r="F7" s="10"/>
      <c r="G7" s="10" t="n">
        <v>0.5</v>
      </c>
      <c r="H7" s="10"/>
      <c r="I7" s="10"/>
    </row>
    <row r="8" customFormat="false" ht="13.8" hidden="false" customHeight="false" outlineLevel="0" collapsed="false">
      <c r="A8" s="4" t="s">
        <v>19</v>
      </c>
      <c r="B8" s="9"/>
      <c r="C8" s="9" t="n">
        <v>0.9</v>
      </c>
      <c r="D8" s="9" t="n">
        <v>1.8</v>
      </c>
      <c r="E8" s="9"/>
      <c r="F8" s="9"/>
      <c r="G8" s="9"/>
      <c r="H8" s="9" t="n">
        <v>15</v>
      </c>
      <c r="I8" s="9"/>
    </row>
    <row r="9" customFormat="false" ht="13.8" hidden="false" customHeight="false" outlineLevel="0" collapsed="false">
      <c r="A9" s="6" t="s">
        <v>20</v>
      </c>
      <c r="B9" s="10" t="n">
        <v>20</v>
      </c>
      <c r="C9" s="10" t="n">
        <v>30</v>
      </c>
      <c r="D9" s="10" t="n">
        <v>60</v>
      </c>
      <c r="E9" s="10"/>
      <c r="F9" s="10"/>
      <c r="G9" s="10"/>
      <c r="H9" s="10" t="n">
        <v>150</v>
      </c>
      <c r="I9" s="10" t="n">
        <v>150</v>
      </c>
    </row>
  </sheetData>
  <conditionalFormatting sqref="A1:I1">
    <cfRule type="expression" priority="2" aboveAverage="0" equalAverage="0" bottom="0" percent="0" rank="0" text="" dxfId="0">
      <formula>AND(OR(COUNTIF('master sheet'!$A$2:$A$111,A1)&gt;0,COUNTIF('master sheet'!$C$2:$C$111,A1)&gt;0),IF(COUNTIF('master sheet'!$A$2:$A$111,A1)&gt;0,INDEX('master sheet'!$B$2:$B$111,MATCH(A1,'master sheet'!$A$2:$A$111,0)),INDEX('master sheet'!$B$2:$B$111,MATCH(A1,'master sheet'!$C$2:$C$111,0)))&lt;&gt;"")</formula>
    </cfRule>
  </conditionalFormatting>
  <conditionalFormatting sqref="A1:I1">
    <cfRule type="expression" priority="3" aboveAverage="0" equalAverage="0" bottom="0" percent="0" rank="0" text="" dxfId="1">
      <formula>AND(COUNTIF('master sheet'!$A$2:$A$111,A1)=0,COUNTIF('master sheet'!$C$2:$C$111,A1)=0)</formula>
    </cfRule>
  </conditionalFormatting>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&amp;C&amp;"Arial,Regular"&amp;10&amp;Kffffff&amp;A</oddHeader>
    <oddFooter>&amp;C&amp;"Arial,Regular"&amp;10&amp;KffffffPage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1" activeCellId="0" sqref="J1"/>
    </sheetView>
  </sheetViews>
  <sheetFormatPr defaultColWidth="8.59765625" defaultRowHeight="13.8" zeroHeight="false" outlineLevelRow="0" outlineLevelCol="0"/>
  <cols>
    <col collapsed="false" customWidth="true" hidden="false" outlineLevel="0" max="1" min="1" style="1" width="11.32"/>
    <col collapsed="false" customWidth="true" hidden="false" outlineLevel="0" max="11" min="2" style="1" width="6.74"/>
    <col collapsed="false" customWidth="true" hidden="false" outlineLevel="0" max="76" min="12" style="0" width="6.74"/>
    <col collapsed="false" customWidth="true" hidden="false" outlineLevel="0" max="16383" min="16383" style="1" width="10.16"/>
    <col collapsed="false" customWidth="true" hidden="false" outlineLevel="0" max="16384" min="16384" style="0" width="10.16"/>
  </cols>
  <sheetData>
    <row r="1" customFormat="false" ht="90.7" hidden="false" customHeight="true" outlineLevel="0" collapsed="false">
      <c r="A1" s="3" t="s">
        <v>0</v>
      </c>
      <c r="B1" s="3" t="s">
        <v>1</v>
      </c>
      <c r="C1" s="3" t="s">
        <v>21</v>
      </c>
      <c r="D1" s="3" t="s">
        <v>22</v>
      </c>
      <c r="E1" s="3" t="s">
        <v>23</v>
      </c>
      <c r="F1" s="3" t="s">
        <v>6</v>
      </c>
      <c r="G1" s="3" t="s">
        <v>24</v>
      </c>
      <c r="H1" s="3" t="s">
        <v>25</v>
      </c>
      <c r="I1" s="3" t="s">
        <v>26</v>
      </c>
      <c r="J1" s="3" t="s">
        <v>7</v>
      </c>
    </row>
    <row r="2" customFormat="false" ht="13.8" hidden="false" customHeight="false" outlineLevel="0" collapsed="false">
      <c r="A2" s="11" t="s">
        <v>27</v>
      </c>
      <c r="B2" s="9" t="n">
        <v>8</v>
      </c>
      <c r="C2" s="9" t="n">
        <v>100</v>
      </c>
      <c r="D2" s="9"/>
      <c r="E2" s="9"/>
      <c r="F2" s="9"/>
      <c r="G2" s="9"/>
      <c r="H2" s="9"/>
      <c r="I2" s="12"/>
      <c r="J2" s="12"/>
    </row>
    <row r="3" customFormat="false" ht="13.8" hidden="false" customHeight="false" outlineLevel="0" collapsed="false">
      <c r="A3" s="13" t="s">
        <v>28</v>
      </c>
      <c r="B3" s="10" t="n">
        <v>19</v>
      </c>
      <c r="C3" s="10" t="n">
        <v>400</v>
      </c>
      <c r="D3" s="10"/>
      <c r="E3" s="10"/>
      <c r="F3" s="10"/>
      <c r="G3" s="10"/>
      <c r="H3" s="10"/>
      <c r="I3" s="14"/>
      <c r="J3" s="14"/>
    </row>
    <row r="4" customFormat="false" ht="23.85" hidden="false" customHeight="false" outlineLevel="0" collapsed="false">
      <c r="A4" s="11" t="s">
        <v>29</v>
      </c>
      <c r="B4" s="9" t="n">
        <v>10</v>
      </c>
      <c r="C4" s="9" t="n">
        <v>-100</v>
      </c>
      <c r="D4" s="9"/>
      <c r="E4" s="9" t="n">
        <v>3</v>
      </c>
      <c r="F4" s="9" t="n">
        <v>6.6</v>
      </c>
      <c r="G4" s="9"/>
      <c r="H4" s="9"/>
      <c r="I4" s="12"/>
      <c r="J4" s="12"/>
    </row>
    <row r="5" customFormat="false" ht="23.85" hidden="false" customHeight="false" outlineLevel="0" collapsed="false">
      <c r="A5" s="13" t="s">
        <v>30</v>
      </c>
      <c r="B5" s="10" t="n">
        <v>12</v>
      </c>
      <c r="C5" s="10" t="n">
        <v>300</v>
      </c>
      <c r="D5" s="10"/>
      <c r="E5" s="10"/>
      <c r="F5" s="10" t="n">
        <v>36</v>
      </c>
      <c r="G5" s="10"/>
      <c r="H5" s="10"/>
      <c r="I5" s="14"/>
      <c r="J5" s="14" t="n">
        <v>36</v>
      </c>
    </row>
    <row r="6" customFormat="false" ht="35.05" hidden="false" customHeight="false" outlineLevel="0" collapsed="false">
      <c r="A6" s="11" t="s">
        <v>31</v>
      </c>
      <c r="B6" s="9" t="n">
        <v>6</v>
      </c>
      <c r="C6" s="9" t="n">
        <v>600</v>
      </c>
      <c r="D6" s="9"/>
      <c r="E6" s="9"/>
      <c r="F6" s="9"/>
      <c r="G6" s="9"/>
      <c r="H6" s="9"/>
      <c r="I6" s="12" t="n">
        <v>30</v>
      </c>
      <c r="J6" s="12"/>
    </row>
    <row r="7" customFormat="false" ht="23.85" hidden="false" customHeight="false" outlineLevel="0" collapsed="false">
      <c r="A7" s="13" t="s">
        <v>32</v>
      </c>
      <c r="B7" s="10" t="n">
        <v>16</v>
      </c>
      <c r="C7" s="10"/>
      <c r="D7" s="10" t="n">
        <v>7</v>
      </c>
      <c r="E7" s="10"/>
      <c r="F7" s="10"/>
      <c r="G7" s="10"/>
      <c r="H7" s="10"/>
      <c r="I7" s="12"/>
      <c r="J7" s="12"/>
    </row>
    <row r="8" customFormat="false" ht="23.85" hidden="false" customHeight="false" outlineLevel="0" collapsed="false">
      <c r="A8" s="11" t="s">
        <v>33</v>
      </c>
      <c r="B8" s="9" t="n">
        <v>4</v>
      </c>
      <c r="C8" s="9"/>
      <c r="D8" s="9" t="n">
        <v>1.25</v>
      </c>
      <c r="E8" s="9"/>
      <c r="F8" s="9"/>
      <c r="G8" s="9"/>
      <c r="H8" s="9"/>
      <c r="I8" s="14"/>
      <c r="J8" s="14"/>
    </row>
    <row r="9" customFormat="false" ht="13.8" hidden="false" customHeight="false" outlineLevel="0" collapsed="false">
      <c r="A9" s="13" t="s">
        <v>34</v>
      </c>
      <c r="B9" s="10" t="n">
        <v>14</v>
      </c>
      <c r="C9" s="10" t="n">
        <v>200</v>
      </c>
      <c r="D9" s="10" t="n">
        <v>2</v>
      </c>
      <c r="E9" s="10"/>
      <c r="F9" s="10"/>
      <c r="G9" s="10"/>
      <c r="H9" s="10"/>
      <c r="I9" s="12"/>
      <c r="J9" s="12"/>
    </row>
    <row r="10" customFormat="false" ht="23.85" hidden="false" customHeight="false" outlineLevel="0" collapsed="false">
      <c r="A10" s="11" t="s">
        <v>35</v>
      </c>
      <c r="B10" s="9" t="n">
        <v>7</v>
      </c>
      <c r="C10" s="9"/>
      <c r="D10" s="9" t="n">
        <v>4</v>
      </c>
      <c r="E10" s="9"/>
      <c r="F10" s="9"/>
      <c r="G10" s="9"/>
      <c r="H10" s="9"/>
      <c r="I10" s="14"/>
      <c r="J10" s="14"/>
    </row>
    <row r="11" customFormat="false" ht="23.85" hidden="false" customHeight="false" outlineLevel="0" collapsed="false">
      <c r="A11" s="11" t="s">
        <v>36</v>
      </c>
      <c r="B11" s="9" t="n">
        <v>9</v>
      </c>
      <c r="C11" s="9"/>
      <c r="D11" s="9" t="n">
        <v>6</v>
      </c>
      <c r="E11" s="9" t="n">
        <v>1.8</v>
      </c>
      <c r="F11" s="9" t="n">
        <v>72</v>
      </c>
      <c r="G11" s="9" t="n">
        <v>144</v>
      </c>
      <c r="H11" s="9"/>
      <c r="I11" s="14"/>
      <c r="J11" s="14"/>
    </row>
  </sheetData>
  <conditionalFormatting sqref="A1:J1">
    <cfRule type="expression" priority="2" aboveAverage="0" equalAverage="0" bottom="0" percent="0" rank="0" text="" dxfId="0">
      <formula>AND(OR(COUNTIF('master sheet'!$A$2:$A$111,A1)&gt;0,COUNTIF('master sheet'!$C$2:$C$111,A1)&gt;0),IF(COUNTIF('master sheet'!$A$2:$A$111,A1)&gt;0,INDEX('master sheet'!$B$2:$B$111,MATCH(A1,'master sheet'!$A$2:$A$111,0)),INDEX('master sheet'!$B$2:$B$111,MATCH(A1,'master sheet'!$C$2:$C$111,0)))&lt;&gt;"")</formula>
    </cfRule>
  </conditionalFormatting>
  <conditionalFormatting sqref="A1:J1">
    <cfRule type="expression" priority="3" aboveAverage="0" equalAverage="0" bottom="0" percent="0" rank="0" text="" dxfId="1">
      <formula>AND(COUNTIF('master sheet'!$A$2:$A$111,A1)=0,COUNTIF('master sheet'!$C$2:$C$111,A1)=0)</formula>
    </cfRule>
  </conditionalFormatting>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&amp;C&amp;"Arial,Regular"&amp;10&amp;Kffffff&amp;A</oddHeader>
    <oddFooter>&amp;C&amp;"Arial,Regular"&amp;10&amp;KffffffPage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4" activeCellId="0" sqref="B14"/>
    </sheetView>
  </sheetViews>
  <sheetFormatPr defaultColWidth="10.16015625" defaultRowHeight="13.8" zeroHeight="false" outlineLevelRow="0" outlineLevelCol="0"/>
  <cols>
    <col collapsed="false" customWidth="true" hidden="false" outlineLevel="0" max="1" min="1" style="15" width="37.31"/>
    <col collapsed="false" customWidth="true" hidden="false" outlineLevel="0" max="2" min="2" style="16" width="89.21"/>
    <col collapsed="false" customWidth="true" hidden="false" outlineLevel="0" max="3" min="3" style="15" width="30.94"/>
    <col collapsed="false" customWidth="true" hidden="false" outlineLevel="0" max="8" min="4" style="0" width="4.34"/>
  </cols>
  <sheetData>
    <row r="1" customFormat="false" ht="13.8" hidden="false" customHeight="false" outlineLevel="0" collapsed="false">
      <c r="A1" s="17" t="s">
        <v>37</v>
      </c>
      <c r="B1" s="18" t="s">
        <v>38</v>
      </c>
      <c r="C1" s="17" t="s">
        <v>39</v>
      </c>
    </row>
    <row r="2" customFormat="false" ht="26.85" hidden="false" customHeight="false" outlineLevel="0" collapsed="false">
      <c r="A2" s="17" t="s">
        <v>40</v>
      </c>
      <c r="B2" s="18" t="s">
        <v>41</v>
      </c>
      <c r="C2" s="17" t="s">
        <v>6</v>
      </c>
    </row>
    <row r="3" customFormat="false" ht="26.85" hidden="false" customHeight="false" outlineLevel="0" collapsed="false">
      <c r="A3" s="17" t="s">
        <v>42</v>
      </c>
      <c r="B3" s="19" t="s">
        <v>43</v>
      </c>
      <c r="C3" s="17" t="s">
        <v>7</v>
      </c>
    </row>
    <row r="4" customFormat="false" ht="39.55" hidden="false" customHeight="false" outlineLevel="0" collapsed="false">
      <c r="A4" s="17" t="s">
        <v>44</v>
      </c>
      <c r="B4" s="18" t="s">
        <v>45</v>
      </c>
      <c r="C4" s="17" t="s">
        <v>1</v>
      </c>
    </row>
    <row r="5" customFormat="false" ht="13.8" hidden="false" customHeight="false" outlineLevel="0" collapsed="false">
      <c r="A5" s="17" t="s">
        <v>2</v>
      </c>
      <c r="B5" s="18" t="s">
        <v>46</v>
      </c>
      <c r="C5" s="17"/>
    </row>
    <row r="6" customFormat="false" ht="13.8" hidden="false" customHeight="false" outlineLevel="0" collapsed="false">
      <c r="A6" s="17" t="s">
        <v>0</v>
      </c>
      <c r="B6" s="18" t="s">
        <v>47</v>
      </c>
      <c r="C6" s="17"/>
    </row>
    <row r="7" customFormat="false" ht="39.55" hidden="false" customHeight="false" outlineLevel="0" collapsed="false">
      <c r="A7" s="17" t="s">
        <v>9</v>
      </c>
      <c r="B7" s="18" t="s">
        <v>48</v>
      </c>
      <c r="C7" s="17"/>
    </row>
    <row r="8" customFormat="false" ht="39.55" hidden="false" customHeight="false" outlineLevel="0" collapsed="false">
      <c r="A8" s="17" t="s">
        <v>8</v>
      </c>
      <c r="B8" s="18" t="s">
        <v>49</v>
      </c>
      <c r="C8" s="17"/>
    </row>
    <row r="9" customFormat="false" ht="13.8" hidden="false" customHeight="false" outlineLevel="0" collapsed="false">
      <c r="A9" s="17" t="s">
        <v>50</v>
      </c>
      <c r="B9" s="18"/>
      <c r="C9" s="17"/>
    </row>
    <row r="10" customFormat="false" ht="13.8" hidden="false" customHeight="false" outlineLevel="0" collapsed="false">
      <c r="A10" s="17" t="s">
        <v>51</v>
      </c>
      <c r="B10" s="18"/>
      <c r="C10" s="17"/>
    </row>
    <row r="11" customFormat="false" ht="13.8" hidden="false" customHeight="false" outlineLevel="0" collapsed="false">
      <c r="A11" s="17" t="s">
        <v>52</v>
      </c>
      <c r="B11" s="18"/>
      <c r="C11" s="17"/>
    </row>
    <row r="12" customFormat="false" ht="13.8" hidden="false" customHeight="false" outlineLevel="0" collapsed="false">
      <c r="A12" s="17" t="s">
        <v>53</v>
      </c>
      <c r="B12" s="18"/>
      <c r="C12" s="17"/>
    </row>
    <row r="13" customFormat="false" ht="13.8" hidden="false" customHeight="false" outlineLevel="0" collapsed="false">
      <c r="A13" s="17" t="s">
        <v>54</v>
      </c>
      <c r="B13" s="18"/>
      <c r="C13" s="17"/>
    </row>
    <row r="14" customFormat="false" ht="26.85" hidden="false" customHeight="false" outlineLevel="0" collapsed="false">
      <c r="A14" s="17" t="s">
        <v>55</v>
      </c>
      <c r="B14" s="18" t="s">
        <v>56</v>
      </c>
      <c r="C14" s="17"/>
    </row>
    <row r="15" customFormat="false" ht="26.85" hidden="false" customHeight="false" outlineLevel="0" collapsed="false">
      <c r="A15" s="17" t="s">
        <v>11</v>
      </c>
      <c r="B15" s="18" t="s">
        <v>57</v>
      </c>
      <c r="C15" s="17"/>
    </row>
    <row r="16" customFormat="false" ht="52.2" hidden="false" customHeight="false" outlineLevel="0" collapsed="false">
      <c r="A16" s="17" t="s">
        <v>26</v>
      </c>
      <c r="B16" s="18" t="s">
        <v>58</v>
      </c>
      <c r="C16" s="17"/>
    </row>
    <row r="17" customFormat="false" ht="13.8" hidden="false" customHeight="false" outlineLevel="0" collapsed="false">
      <c r="A17" s="17" t="s">
        <v>59</v>
      </c>
      <c r="B17" s="18"/>
      <c r="C17" s="17"/>
    </row>
    <row r="18" customFormat="false" ht="13.8" hidden="false" customHeight="false" outlineLevel="0" collapsed="false">
      <c r="A18" s="17" t="s">
        <v>60</v>
      </c>
      <c r="B18" s="18"/>
      <c r="C18" s="17"/>
    </row>
    <row r="19" customFormat="false" ht="13.8" hidden="false" customHeight="false" outlineLevel="0" collapsed="false">
      <c r="A19" s="17" t="s">
        <v>61</v>
      </c>
      <c r="B19" s="18"/>
      <c r="C19" s="17"/>
    </row>
    <row r="20" customFormat="false" ht="13.8" hidden="false" customHeight="false" outlineLevel="0" collapsed="false">
      <c r="A20" s="17" t="s">
        <v>62</v>
      </c>
      <c r="B20" s="18"/>
      <c r="C20" s="17"/>
    </row>
    <row r="21" customFormat="false" ht="13.8" hidden="false" customHeight="false" outlineLevel="0" collapsed="false">
      <c r="A21" s="17" t="s">
        <v>63</v>
      </c>
      <c r="B21" s="18"/>
      <c r="C21" s="17"/>
    </row>
    <row r="22" customFormat="false" ht="13.8" hidden="false" customHeight="false" outlineLevel="0" collapsed="false">
      <c r="A22" s="17" t="s">
        <v>64</v>
      </c>
      <c r="B22" s="18"/>
      <c r="C22" s="0"/>
    </row>
    <row r="23" customFormat="false" ht="13.8" hidden="false" customHeight="false" outlineLevel="0" collapsed="false">
      <c r="A23" s="17" t="s">
        <v>65</v>
      </c>
      <c r="B23" s="18"/>
      <c r="C23" s="17"/>
    </row>
    <row r="24" customFormat="false" ht="13.8" hidden="false" customHeight="false" outlineLevel="0" collapsed="false">
      <c r="A24" s="17" t="s">
        <v>66</v>
      </c>
      <c r="B24" s="18"/>
      <c r="C24" s="17"/>
    </row>
    <row r="25" customFormat="false" ht="13.8" hidden="false" customHeight="false" outlineLevel="0" collapsed="false">
      <c r="A25" s="17" t="s">
        <v>67</v>
      </c>
      <c r="B25" s="18"/>
      <c r="C25" s="17"/>
    </row>
    <row r="26" customFormat="false" ht="13.8" hidden="false" customHeight="false" outlineLevel="0" collapsed="false">
      <c r="A26" s="17" t="s">
        <v>68</v>
      </c>
      <c r="B26" s="18"/>
      <c r="C26" s="17"/>
    </row>
    <row r="27" customFormat="false" ht="13.8" hidden="false" customHeight="false" outlineLevel="0" collapsed="false">
      <c r="A27" s="17" t="s">
        <v>69</v>
      </c>
      <c r="B27" s="18"/>
      <c r="C27" s="17"/>
    </row>
    <row r="28" customFormat="false" ht="13.8" hidden="false" customHeight="false" outlineLevel="0" collapsed="false">
      <c r="A28" s="17" t="s">
        <v>70</v>
      </c>
      <c r="B28" s="18"/>
      <c r="C28" s="17"/>
    </row>
    <row r="29" customFormat="false" ht="13.8" hidden="false" customHeight="false" outlineLevel="0" collapsed="false">
      <c r="A29" s="17" t="s">
        <v>71</v>
      </c>
      <c r="B29" s="18"/>
      <c r="C29" s="17"/>
    </row>
    <row r="30" customFormat="false" ht="13.8" hidden="false" customHeight="false" outlineLevel="0" collapsed="false">
      <c r="A30" s="17" t="s">
        <v>72</v>
      </c>
      <c r="B30" s="18"/>
      <c r="C30" s="17"/>
    </row>
    <row r="31" customFormat="false" ht="13.8" hidden="false" customHeight="false" outlineLevel="0" collapsed="false">
      <c r="A31" s="17" t="s">
        <v>73</v>
      </c>
      <c r="B31" s="18"/>
      <c r="C31" s="17"/>
    </row>
    <row r="32" customFormat="false" ht="13.8" hidden="false" customHeight="false" outlineLevel="0" collapsed="false">
      <c r="A32" s="17" t="s">
        <v>74</v>
      </c>
      <c r="B32" s="18"/>
      <c r="C32" s="17"/>
    </row>
    <row r="33" customFormat="false" ht="13.8" hidden="false" customHeight="false" outlineLevel="0" collapsed="false">
      <c r="A33" s="17" t="s">
        <v>75</v>
      </c>
      <c r="B33" s="18"/>
      <c r="C33" s="17"/>
    </row>
    <row r="34" customFormat="false" ht="13.8" hidden="false" customHeight="false" outlineLevel="0" collapsed="false">
      <c r="A34" s="17" t="s">
        <v>76</v>
      </c>
      <c r="B34" s="18"/>
      <c r="C34" s="17"/>
    </row>
    <row r="35" customFormat="false" ht="26.85" hidden="false" customHeight="false" outlineLevel="0" collapsed="false">
      <c r="A35" s="17" t="s">
        <v>21</v>
      </c>
      <c r="B35" s="18" t="s">
        <v>77</v>
      </c>
      <c r="C35" s="17"/>
    </row>
    <row r="36" customFormat="false" ht="64.9" hidden="false" customHeight="false" outlineLevel="0" collapsed="false">
      <c r="A36" s="17" t="s">
        <v>78</v>
      </c>
      <c r="B36" s="18" t="s">
        <v>79</v>
      </c>
      <c r="C36" s="17" t="s">
        <v>23</v>
      </c>
    </row>
    <row r="37" customFormat="false" ht="13.8" hidden="false" customHeight="false" outlineLevel="0" collapsed="false">
      <c r="A37" s="17" t="s">
        <v>80</v>
      </c>
      <c r="B37" s="18"/>
      <c r="C37" s="17"/>
    </row>
    <row r="38" customFormat="false" ht="13.8" hidden="false" customHeight="false" outlineLevel="0" collapsed="false">
      <c r="A38" s="17" t="s">
        <v>81</v>
      </c>
      <c r="B38" s="18"/>
      <c r="C38" s="17"/>
    </row>
    <row r="39" customFormat="false" ht="13.8" hidden="false" customHeight="false" outlineLevel="0" collapsed="false">
      <c r="A39" s="17" t="s">
        <v>82</v>
      </c>
      <c r="B39" s="18"/>
      <c r="C39" s="17"/>
    </row>
    <row r="40" customFormat="false" ht="13.8" hidden="false" customHeight="false" outlineLevel="0" collapsed="false">
      <c r="A40" s="17" t="s">
        <v>83</v>
      </c>
      <c r="B40" s="18"/>
      <c r="C40" s="17"/>
    </row>
    <row r="41" customFormat="false" ht="13.8" hidden="false" customHeight="false" outlineLevel="0" collapsed="false">
      <c r="A41" s="17" t="s">
        <v>84</v>
      </c>
      <c r="B41" s="18"/>
      <c r="C41" s="17"/>
    </row>
    <row r="42" customFormat="false" ht="13.8" hidden="false" customHeight="false" outlineLevel="0" collapsed="false">
      <c r="A42" s="17" t="s">
        <v>85</v>
      </c>
      <c r="B42" s="18"/>
      <c r="C42" s="17"/>
    </row>
    <row r="43" customFormat="false" ht="13.8" hidden="false" customHeight="false" outlineLevel="0" collapsed="false">
      <c r="A43" s="17" t="s">
        <v>86</v>
      </c>
      <c r="B43" s="18"/>
      <c r="C43" s="17"/>
    </row>
    <row r="44" customFormat="false" ht="13.8" hidden="false" customHeight="false" outlineLevel="0" collapsed="false">
      <c r="A44" s="17" t="s">
        <v>87</v>
      </c>
      <c r="B44" s="18"/>
      <c r="C44" s="17"/>
    </row>
    <row r="45" customFormat="false" ht="13.8" hidden="false" customHeight="false" outlineLevel="0" collapsed="false">
      <c r="A45" s="17" t="s">
        <v>88</v>
      </c>
      <c r="B45" s="18"/>
      <c r="C45" s="17"/>
    </row>
    <row r="46" customFormat="false" ht="13.8" hidden="false" customHeight="false" outlineLevel="0" collapsed="false">
      <c r="A46" s="17" t="s">
        <v>89</v>
      </c>
      <c r="B46" s="18"/>
      <c r="C46" s="17"/>
    </row>
    <row r="47" customFormat="false" ht="13.8" hidden="false" customHeight="false" outlineLevel="0" collapsed="false">
      <c r="A47" s="17" t="s">
        <v>90</v>
      </c>
      <c r="B47" s="18"/>
      <c r="C47" s="17"/>
    </row>
    <row r="48" customFormat="false" ht="13.8" hidden="false" customHeight="false" outlineLevel="0" collapsed="false">
      <c r="A48" s="17" t="s">
        <v>91</v>
      </c>
      <c r="B48" s="18"/>
      <c r="C48" s="17"/>
    </row>
    <row r="49" customFormat="false" ht="13.8" hidden="false" customHeight="false" outlineLevel="0" collapsed="false">
      <c r="A49" s="17" t="s">
        <v>92</v>
      </c>
      <c r="B49" s="18"/>
      <c r="C49" s="17"/>
    </row>
    <row r="50" customFormat="false" ht="13.8" hidden="false" customHeight="false" outlineLevel="0" collapsed="false">
      <c r="A50" s="17" t="s">
        <v>93</v>
      </c>
      <c r="B50" s="18"/>
      <c r="C50" s="17"/>
    </row>
    <row r="51" customFormat="false" ht="13.8" hidden="false" customHeight="false" outlineLevel="0" collapsed="false">
      <c r="A51" s="17" t="s">
        <v>94</v>
      </c>
      <c r="B51" s="18"/>
      <c r="C51" s="17"/>
    </row>
    <row r="52" customFormat="false" ht="13.8" hidden="false" customHeight="false" outlineLevel="0" collapsed="false">
      <c r="A52" s="17" t="s">
        <v>95</v>
      </c>
      <c r="B52" s="18"/>
      <c r="C52" s="17"/>
    </row>
    <row r="53" customFormat="false" ht="13.8" hidden="false" customHeight="false" outlineLevel="0" collapsed="false">
      <c r="A53" s="17" t="s">
        <v>96</v>
      </c>
      <c r="B53" s="18"/>
      <c r="C53" s="17"/>
    </row>
    <row r="54" customFormat="false" ht="13.8" hidden="false" customHeight="false" outlineLevel="0" collapsed="false">
      <c r="A54" s="17" t="s">
        <v>97</v>
      </c>
      <c r="B54" s="18"/>
      <c r="C54" s="17"/>
    </row>
    <row r="55" customFormat="false" ht="13.8" hidden="false" customHeight="false" outlineLevel="0" collapsed="false">
      <c r="A55" s="17" t="s">
        <v>98</v>
      </c>
      <c r="B55" s="18"/>
      <c r="C55" s="17"/>
    </row>
    <row r="56" customFormat="false" ht="13.8" hidden="false" customHeight="false" outlineLevel="0" collapsed="false">
      <c r="A56" s="17" t="s">
        <v>99</v>
      </c>
      <c r="B56" s="18"/>
      <c r="C56" s="17"/>
    </row>
    <row r="57" customFormat="false" ht="13.8" hidden="false" customHeight="false" outlineLevel="0" collapsed="false">
      <c r="A57" s="17" t="s">
        <v>100</v>
      </c>
      <c r="B57" s="18"/>
      <c r="C57" s="17"/>
    </row>
    <row r="58" customFormat="false" ht="26.85" hidden="false" customHeight="false" outlineLevel="0" collapsed="false">
      <c r="A58" s="17" t="s">
        <v>12</v>
      </c>
      <c r="B58" s="18" t="s">
        <v>101</v>
      </c>
      <c r="C58" s="17"/>
    </row>
    <row r="59" customFormat="false" ht="13.8" hidden="false" customHeight="false" outlineLevel="0" collapsed="false">
      <c r="A59" s="17" t="s">
        <v>102</v>
      </c>
      <c r="B59" s="18"/>
      <c r="C59" s="0"/>
    </row>
    <row r="60" customFormat="false" ht="13.8" hidden="false" customHeight="false" outlineLevel="0" collapsed="false">
      <c r="A60" s="17" t="s">
        <v>103</v>
      </c>
      <c r="B60" s="18"/>
      <c r="C60" s="17"/>
    </row>
    <row r="61" customFormat="false" ht="39.55" hidden="false" customHeight="false" outlineLevel="0" collapsed="false">
      <c r="A61" s="17" t="s">
        <v>22</v>
      </c>
      <c r="B61" s="18" t="s">
        <v>104</v>
      </c>
      <c r="C61" s="17"/>
    </row>
    <row r="62" customFormat="false" ht="13.8" hidden="false" customHeight="false" outlineLevel="0" collapsed="false">
      <c r="A62" s="17" t="s">
        <v>105</v>
      </c>
      <c r="B62" s="18"/>
      <c r="C62" s="17"/>
    </row>
    <row r="63" customFormat="false" ht="13.8" hidden="false" customHeight="false" outlineLevel="0" collapsed="false">
      <c r="A63" s="17" t="s">
        <v>106</v>
      </c>
      <c r="B63" s="18"/>
      <c r="C63" s="17"/>
    </row>
    <row r="64" customFormat="false" ht="13.8" hidden="false" customHeight="false" outlineLevel="0" collapsed="false">
      <c r="A64" s="17" t="s">
        <v>107</v>
      </c>
      <c r="B64" s="18"/>
      <c r="C64" s="17"/>
    </row>
    <row r="65" customFormat="false" ht="13.8" hidden="false" customHeight="false" outlineLevel="0" collapsed="false">
      <c r="A65" s="17" t="s">
        <v>108</v>
      </c>
      <c r="B65" s="18"/>
      <c r="C65" s="17"/>
    </row>
    <row r="66" customFormat="false" ht="13.8" hidden="false" customHeight="false" outlineLevel="0" collapsed="false">
      <c r="A66" s="17" t="s">
        <v>109</v>
      </c>
      <c r="B66" s="18"/>
      <c r="C66" s="17"/>
    </row>
    <row r="67" customFormat="false" ht="13.8" hidden="false" customHeight="false" outlineLevel="0" collapsed="false">
      <c r="A67" s="17" t="s">
        <v>110</v>
      </c>
      <c r="B67" s="18"/>
      <c r="C67" s="17"/>
    </row>
    <row r="68" customFormat="false" ht="13.8" hidden="false" customHeight="false" outlineLevel="0" collapsed="false">
      <c r="A68" s="17" t="s">
        <v>111</v>
      </c>
      <c r="B68" s="18"/>
      <c r="C68" s="17"/>
    </row>
    <row r="69" customFormat="false" ht="26.85" hidden="false" customHeight="false" outlineLevel="0" collapsed="false">
      <c r="A69" s="17" t="s">
        <v>10</v>
      </c>
      <c r="B69" s="18" t="s">
        <v>112</v>
      </c>
      <c r="C69" s="17"/>
    </row>
    <row r="70" customFormat="false" ht="13.8" hidden="false" customHeight="false" outlineLevel="0" collapsed="false">
      <c r="A70" s="17" t="s">
        <v>113</v>
      </c>
      <c r="B70" s="18"/>
      <c r="C70" s="17"/>
    </row>
    <row r="71" customFormat="false" ht="13.8" hidden="false" customHeight="false" outlineLevel="0" collapsed="false">
      <c r="A71" s="17" t="s">
        <v>114</v>
      </c>
      <c r="B71" s="18"/>
      <c r="C71" s="17"/>
    </row>
    <row r="72" customFormat="false" ht="13.8" hidden="false" customHeight="false" outlineLevel="0" collapsed="false">
      <c r="A72" s="17" t="s">
        <v>115</v>
      </c>
      <c r="B72" s="18"/>
      <c r="C72" s="17"/>
    </row>
    <row r="73" customFormat="false" ht="13.8" hidden="false" customHeight="false" outlineLevel="0" collapsed="false">
      <c r="A73" s="17" t="s">
        <v>116</v>
      </c>
      <c r="B73" s="18"/>
      <c r="C73" s="17"/>
    </row>
    <row r="74" customFormat="false" ht="13.8" hidden="false" customHeight="false" outlineLevel="0" collapsed="false">
      <c r="A74" s="17" t="s">
        <v>117</v>
      </c>
      <c r="B74" s="18"/>
      <c r="C74" s="17"/>
    </row>
    <row r="75" customFormat="false" ht="13.8" hidden="false" customHeight="false" outlineLevel="0" collapsed="false">
      <c r="A75" s="17" t="s">
        <v>118</v>
      </c>
      <c r="B75" s="18"/>
      <c r="C75" s="17"/>
    </row>
    <row r="76" customFormat="false" ht="13.8" hidden="false" customHeight="false" outlineLevel="0" collapsed="false">
      <c r="A76" s="17" t="s">
        <v>119</v>
      </c>
      <c r="B76" s="18"/>
      <c r="C76" s="17"/>
    </row>
    <row r="77" customFormat="false" ht="13.8" hidden="false" customHeight="false" outlineLevel="0" collapsed="false">
      <c r="A77" s="17" t="s">
        <v>120</v>
      </c>
      <c r="B77" s="18"/>
      <c r="C77" s="17"/>
    </row>
    <row r="78" customFormat="false" ht="13.8" hidden="false" customHeight="false" outlineLevel="0" collapsed="false">
      <c r="A78" s="17" t="s">
        <v>121</v>
      </c>
      <c r="B78" s="18"/>
      <c r="C78" s="17"/>
    </row>
    <row r="79" customFormat="false" ht="13.8" hidden="false" customHeight="false" outlineLevel="0" collapsed="false">
      <c r="A79" s="17" t="s">
        <v>122</v>
      </c>
      <c r="B79" s="18"/>
      <c r="C79" s="17"/>
    </row>
    <row r="80" customFormat="false" ht="13.8" hidden="false" customHeight="false" outlineLevel="0" collapsed="false">
      <c r="A80" s="17" t="s">
        <v>123</v>
      </c>
      <c r="B80" s="18"/>
      <c r="C80" s="17"/>
    </row>
    <row r="81" customFormat="false" ht="13.8" hidden="false" customHeight="false" outlineLevel="0" collapsed="false">
      <c r="A81" s="17" t="s">
        <v>124</v>
      </c>
      <c r="B81" s="18"/>
      <c r="C81" s="17"/>
    </row>
    <row r="82" customFormat="false" ht="13.8" hidden="false" customHeight="false" outlineLevel="0" collapsed="false">
      <c r="A82" s="17" t="s">
        <v>125</v>
      </c>
      <c r="B82" s="18"/>
      <c r="C82" s="17"/>
    </row>
    <row r="83" customFormat="false" ht="13.8" hidden="false" customHeight="false" outlineLevel="0" collapsed="false">
      <c r="A83" s="17" t="s">
        <v>126</v>
      </c>
      <c r="B83" s="18"/>
      <c r="C83" s="17"/>
    </row>
    <row r="84" customFormat="false" ht="13.8" hidden="false" customHeight="false" outlineLevel="0" collapsed="false">
      <c r="A84" s="17" t="s">
        <v>127</v>
      </c>
      <c r="B84" s="18"/>
      <c r="C84" s="17"/>
    </row>
    <row r="85" customFormat="false" ht="13.8" hidden="false" customHeight="false" outlineLevel="0" collapsed="false">
      <c r="A85" s="17" t="s">
        <v>128</v>
      </c>
      <c r="B85" s="18"/>
      <c r="C85" s="17"/>
    </row>
    <row r="86" customFormat="false" ht="13.8" hidden="false" customHeight="false" outlineLevel="0" collapsed="false">
      <c r="A86" s="17" t="s">
        <v>129</v>
      </c>
      <c r="B86" s="18"/>
      <c r="C86" s="17"/>
    </row>
    <row r="87" customFormat="false" ht="13.8" hidden="false" customHeight="false" outlineLevel="0" collapsed="false">
      <c r="A87" s="17" t="s">
        <v>130</v>
      </c>
      <c r="B87" s="18"/>
      <c r="C87" s="17"/>
    </row>
    <row r="88" customFormat="false" ht="13.8" hidden="false" customHeight="false" outlineLevel="0" collapsed="false">
      <c r="A88" s="17" t="s">
        <v>131</v>
      </c>
      <c r="B88" s="18"/>
      <c r="C88" s="17"/>
    </row>
    <row r="89" customFormat="false" ht="26.85" hidden="false" customHeight="false" outlineLevel="0" collapsed="false">
      <c r="A89" s="17" t="s">
        <v>24</v>
      </c>
      <c r="B89" s="18" t="s">
        <v>132</v>
      </c>
      <c r="C89" s="17"/>
    </row>
    <row r="90" customFormat="false" ht="26.85" hidden="false" customHeight="false" outlineLevel="0" collapsed="false">
      <c r="A90" s="17" t="s">
        <v>25</v>
      </c>
      <c r="B90" s="18" t="s">
        <v>133</v>
      </c>
      <c r="C90" s="17"/>
    </row>
    <row r="91" customFormat="false" ht="13.8" hidden="false" customHeight="false" outlineLevel="0" collapsed="false">
      <c r="A91" s="17" t="s">
        <v>134</v>
      </c>
      <c r="B91" s="18"/>
      <c r="C91" s="17"/>
    </row>
    <row r="92" customFormat="false" ht="13.8" hidden="false" customHeight="false" outlineLevel="0" collapsed="false">
      <c r="A92" s="17" t="s">
        <v>135</v>
      </c>
      <c r="B92" s="18"/>
      <c r="C92" s="17"/>
    </row>
    <row r="93" customFormat="false" ht="13.8" hidden="false" customHeight="false" outlineLevel="0" collapsed="false">
      <c r="A93" s="17" t="s">
        <v>136</v>
      </c>
      <c r="B93" s="18"/>
      <c r="C93" s="17"/>
    </row>
    <row r="94" customFormat="false" ht="13.8" hidden="false" customHeight="false" outlineLevel="0" collapsed="false">
      <c r="A94" s="17" t="s">
        <v>137</v>
      </c>
      <c r="B94" s="18"/>
      <c r="C94" s="17"/>
    </row>
    <row r="95" customFormat="false" ht="13.8" hidden="false" customHeight="false" outlineLevel="0" collapsed="false">
      <c r="A95" s="17" t="s">
        <v>138</v>
      </c>
      <c r="B95" s="18"/>
      <c r="C95" s="17"/>
    </row>
    <row r="96" customFormat="false" ht="13.8" hidden="false" customHeight="false" outlineLevel="0" collapsed="false">
      <c r="A96" s="17" t="s">
        <v>139</v>
      </c>
      <c r="B96" s="18"/>
      <c r="C96" s="17"/>
    </row>
    <row r="97" customFormat="false" ht="13.8" hidden="false" customHeight="false" outlineLevel="0" collapsed="false">
      <c r="A97" s="17" t="s">
        <v>140</v>
      </c>
      <c r="B97" s="18"/>
      <c r="C97" s="17"/>
    </row>
    <row r="98" customFormat="false" ht="13.8" hidden="false" customHeight="false" outlineLevel="0" collapsed="false">
      <c r="A98" s="17" t="s">
        <v>141</v>
      </c>
      <c r="B98" s="18"/>
      <c r="C98" s="17"/>
    </row>
    <row r="99" customFormat="false" ht="13.8" hidden="false" customHeight="false" outlineLevel="0" collapsed="false">
      <c r="A99" s="17" t="s">
        <v>142</v>
      </c>
      <c r="B99" s="18"/>
      <c r="C99" s="17"/>
    </row>
    <row r="100" customFormat="false" ht="13.8" hidden="false" customHeight="false" outlineLevel="0" collapsed="false">
      <c r="A100" s="17" t="s">
        <v>143</v>
      </c>
      <c r="B100" s="18"/>
      <c r="C100" s="17"/>
    </row>
    <row r="101" customFormat="false" ht="13.8" hidden="false" customHeight="false" outlineLevel="0" collapsed="false">
      <c r="A101" s="17" t="s">
        <v>144</v>
      </c>
      <c r="B101" s="18"/>
      <c r="C101" s="17"/>
    </row>
    <row r="102" customFormat="false" ht="13.8" hidden="false" customHeight="false" outlineLevel="0" collapsed="false">
      <c r="A102" s="17" t="s">
        <v>145</v>
      </c>
      <c r="B102" s="18"/>
      <c r="C102" s="17"/>
    </row>
    <row r="103" customFormat="false" ht="13.8" hidden="false" customHeight="false" outlineLevel="0" collapsed="false">
      <c r="A103" s="17" t="s">
        <v>146</v>
      </c>
      <c r="B103" s="18"/>
      <c r="C103" s="17"/>
    </row>
    <row r="104" customFormat="false" ht="13.8" hidden="false" customHeight="false" outlineLevel="0" collapsed="false">
      <c r="A104" s="17" t="s">
        <v>147</v>
      </c>
      <c r="B104" s="18"/>
      <c r="C104" s="17"/>
    </row>
    <row r="105" customFormat="false" ht="13.8" hidden="false" customHeight="false" outlineLevel="0" collapsed="false">
      <c r="A105" s="17" t="s">
        <v>148</v>
      </c>
      <c r="B105" s="18"/>
      <c r="C105" s="17"/>
    </row>
    <row r="106" customFormat="false" ht="13.8" hidden="false" customHeight="false" outlineLevel="0" collapsed="false">
      <c r="A106" s="17" t="s">
        <v>149</v>
      </c>
      <c r="B106" s="18"/>
      <c r="C106" s="17"/>
    </row>
    <row r="107" customFormat="false" ht="13.8" hidden="false" customHeight="false" outlineLevel="0" collapsed="false">
      <c r="A107" s="17" t="s">
        <v>150</v>
      </c>
      <c r="B107" s="18"/>
      <c r="C107" s="17"/>
    </row>
    <row r="108" customFormat="false" ht="13.8" hidden="false" customHeight="false" outlineLevel="0" collapsed="false">
      <c r="A108" s="17" t="s">
        <v>151</v>
      </c>
      <c r="B108" s="18"/>
      <c r="C108" s="17"/>
    </row>
    <row r="109" customFormat="false" ht="13.8" hidden="false" customHeight="false" outlineLevel="0" collapsed="false">
      <c r="A109" s="17" t="s">
        <v>152</v>
      </c>
      <c r="B109" s="18"/>
      <c r="C109" s="17"/>
    </row>
    <row r="110" customFormat="false" ht="13.8" hidden="false" customHeight="false" outlineLevel="0" collapsed="false">
      <c r="A110" s="17" t="s">
        <v>153</v>
      </c>
      <c r="B110" s="18"/>
      <c r="C110" s="17"/>
    </row>
    <row r="111" customFormat="false" ht="13.8" hidden="false" customHeight="false" outlineLevel="0" collapsed="false">
      <c r="A111" s="17" t="s">
        <v>154</v>
      </c>
      <c r="B111" s="18"/>
      <c r="C111" s="17"/>
    </row>
    <row r="112" customFormat="false" ht="13.8" hidden="false" customHeight="false" outlineLevel="0" collapsed="false">
      <c r="A112" s="17"/>
      <c r="B112" s="17"/>
      <c r="C112" s="17"/>
    </row>
    <row r="113" customFormat="false" ht="13.8" hidden="false" customHeight="false" outlineLevel="0" collapsed="false">
      <c r="A113" s="17"/>
      <c r="B113" s="17"/>
      <c r="C113" s="17"/>
    </row>
    <row r="114" customFormat="false" ht="13.8" hidden="false" customHeight="false" outlineLevel="0" collapsed="false">
      <c r="A114" s="17"/>
      <c r="B114" s="17"/>
      <c r="C114" s="17"/>
    </row>
    <row r="115" customFormat="false" ht="13.8" hidden="false" customHeight="false" outlineLevel="0" collapsed="false">
      <c r="A115" s="17"/>
      <c r="B115" s="17"/>
      <c r="C115" s="17"/>
    </row>
    <row r="116" customFormat="false" ht="13.8" hidden="false" customHeight="false" outlineLevel="0" collapsed="false">
      <c r="A116" s="17"/>
      <c r="B116" s="17"/>
      <c r="C116" s="17"/>
    </row>
    <row r="117" customFormat="false" ht="13.8" hidden="false" customHeight="false" outlineLevel="0" collapsed="false">
      <c r="A117" s="17"/>
      <c r="B117" s="17"/>
      <c r="C117" s="17"/>
    </row>
    <row r="118" customFormat="false" ht="13.8" hidden="false" customHeight="false" outlineLevel="0" collapsed="false">
      <c r="A118" s="20"/>
      <c r="B118" s="21"/>
    </row>
    <row r="119" customFormat="false" ht="13.8" hidden="false" customHeight="false" outlineLevel="0" collapsed="false">
      <c r="A119" s="20"/>
      <c r="B119" s="21"/>
    </row>
    <row r="120" customFormat="false" ht="13.8" hidden="false" customHeight="false" outlineLevel="0" collapsed="false">
      <c r="A120" s="20"/>
      <c r="B120" s="21"/>
    </row>
    <row r="121" customFormat="false" ht="13.8" hidden="false" customHeight="false" outlineLevel="0" collapsed="false">
      <c r="A121" s="20"/>
      <c r="B121" s="21"/>
    </row>
    <row r="122" customFormat="false" ht="13.8" hidden="false" customHeight="false" outlineLevel="0" collapsed="false">
      <c r="A122" s="20"/>
      <c r="B122" s="21"/>
    </row>
    <row r="123" customFormat="false" ht="13.8" hidden="false" customHeight="false" outlineLevel="0" collapsed="false">
      <c r="A123" s="20"/>
      <c r="B123" s="21"/>
    </row>
    <row r="124" customFormat="false" ht="13.8" hidden="false" customHeight="false" outlineLevel="0" collapsed="false">
      <c r="A124" s="20"/>
      <c r="B124" s="21"/>
    </row>
    <row r="125" customFormat="false" ht="13.8" hidden="false" customHeight="false" outlineLevel="0" collapsed="false">
      <c r="A125" s="20"/>
      <c r="B125" s="21"/>
    </row>
    <row r="126" customFormat="false" ht="13.8" hidden="false" customHeight="false" outlineLevel="0" collapsed="false">
      <c r="A126" s="20"/>
      <c r="B126" s="21"/>
    </row>
    <row r="127" customFormat="false" ht="13.8" hidden="false" customHeight="false" outlineLevel="0" collapsed="false">
      <c r="A127" s="20"/>
      <c r="B127" s="21"/>
    </row>
    <row r="128" customFormat="false" ht="13.8" hidden="false" customHeight="false" outlineLevel="0" collapsed="false">
      <c r="A128" s="20"/>
      <c r="B128" s="21"/>
    </row>
    <row r="129" customFormat="false" ht="13.8" hidden="false" customHeight="false" outlineLevel="0" collapsed="false">
      <c r="A129" s="20"/>
      <c r="B129" s="21"/>
    </row>
    <row r="130" customFormat="false" ht="13.8" hidden="false" customHeight="false" outlineLevel="0" collapsed="false">
      <c r="A130" s="20"/>
      <c r="B130" s="21"/>
    </row>
    <row r="131" customFormat="false" ht="13.8" hidden="false" customHeight="false" outlineLevel="0" collapsed="false">
      <c r="A131" s="20"/>
      <c r="B131" s="21"/>
    </row>
    <row r="132" customFormat="false" ht="13.8" hidden="false" customHeight="false" outlineLevel="0" collapsed="false">
      <c r="A132" s="20"/>
      <c r="B132" s="21"/>
    </row>
    <row r="133" customFormat="false" ht="13.8" hidden="false" customHeight="false" outlineLevel="0" collapsed="false">
      <c r="A133" s="20"/>
      <c r="B133" s="21"/>
    </row>
    <row r="134" customFormat="false" ht="13.8" hidden="false" customHeight="false" outlineLevel="0" collapsed="false">
      <c r="A134" s="20"/>
      <c r="B134" s="21"/>
    </row>
    <row r="135" customFormat="false" ht="13.8" hidden="false" customHeight="false" outlineLevel="0" collapsed="false">
      <c r="A135" s="20"/>
      <c r="B135" s="21"/>
    </row>
    <row r="136" customFormat="false" ht="13.8" hidden="false" customHeight="false" outlineLevel="0" collapsed="false">
      <c r="A136" s="20"/>
      <c r="B136" s="21"/>
    </row>
    <row r="137" customFormat="false" ht="13.8" hidden="false" customHeight="false" outlineLevel="0" collapsed="false">
      <c r="A137" s="20"/>
      <c r="B137" s="21"/>
    </row>
    <row r="138" customFormat="false" ht="13.8" hidden="false" customHeight="false" outlineLevel="0" collapsed="false">
      <c r="A138" s="20"/>
      <c r="B138" s="21"/>
    </row>
    <row r="139" customFormat="false" ht="13.8" hidden="false" customHeight="false" outlineLevel="0" collapsed="false">
      <c r="A139" s="20"/>
      <c r="B139" s="21"/>
    </row>
    <row r="140" customFormat="false" ht="13.8" hidden="false" customHeight="false" outlineLevel="0" collapsed="false">
      <c r="A140" s="20"/>
      <c r="B140" s="21"/>
    </row>
    <row r="141" customFormat="false" ht="13.8" hidden="false" customHeight="false" outlineLevel="0" collapsed="false">
      <c r="A141" s="20"/>
      <c r="B141" s="21"/>
    </row>
    <row r="142" customFormat="false" ht="13.8" hidden="false" customHeight="false" outlineLevel="0" collapsed="false">
      <c r="A142" s="20"/>
      <c r="B142" s="21"/>
    </row>
    <row r="143" customFormat="false" ht="13.8" hidden="false" customHeight="false" outlineLevel="0" collapsed="false">
      <c r="A143" s="20"/>
      <c r="B143" s="21"/>
    </row>
    <row r="144" customFormat="false" ht="13.8" hidden="false" customHeight="false" outlineLevel="0" collapsed="false">
      <c r="A144" s="20"/>
      <c r="B144" s="21"/>
    </row>
    <row r="145" customFormat="false" ht="13.8" hidden="false" customHeight="false" outlineLevel="0" collapsed="false">
      <c r="A145" s="20"/>
      <c r="B145" s="21"/>
    </row>
    <row r="146" customFormat="false" ht="13.8" hidden="false" customHeight="false" outlineLevel="0" collapsed="false">
      <c r="A146" s="20"/>
      <c r="B146" s="21"/>
    </row>
    <row r="147" customFormat="false" ht="13.8" hidden="false" customHeight="false" outlineLevel="0" collapsed="false">
      <c r="A147" s="20"/>
      <c r="B147" s="21"/>
    </row>
    <row r="148" customFormat="false" ht="13.8" hidden="false" customHeight="false" outlineLevel="0" collapsed="false">
      <c r="A148" s="20"/>
      <c r="B148" s="21"/>
    </row>
    <row r="149" customFormat="false" ht="13.8" hidden="false" customHeight="false" outlineLevel="0" collapsed="false">
      <c r="A149" s="20"/>
      <c r="B149" s="21"/>
    </row>
    <row r="150" customFormat="false" ht="13.8" hidden="false" customHeight="false" outlineLevel="0" collapsed="false">
      <c r="A150" s="20"/>
      <c r="B150" s="21"/>
    </row>
    <row r="151" customFormat="false" ht="13.8" hidden="false" customHeight="false" outlineLevel="0" collapsed="false">
      <c r="A151" s="20"/>
      <c r="B151" s="21"/>
    </row>
    <row r="152" customFormat="false" ht="13.8" hidden="false" customHeight="false" outlineLevel="0" collapsed="false">
      <c r="A152" s="20"/>
      <c r="B152" s="21"/>
    </row>
    <row r="153" customFormat="false" ht="13.8" hidden="false" customHeight="false" outlineLevel="0" collapsed="false">
      <c r="A153" s="20"/>
      <c r="B153" s="21"/>
    </row>
    <row r="154" customFormat="false" ht="13.8" hidden="false" customHeight="false" outlineLevel="0" collapsed="false">
      <c r="A154" s="20"/>
      <c r="B154" s="21"/>
    </row>
    <row r="155" customFormat="false" ht="13.8" hidden="false" customHeight="false" outlineLevel="0" collapsed="false">
      <c r="A155" s="20"/>
      <c r="B155" s="21"/>
    </row>
    <row r="156" customFormat="false" ht="13.8" hidden="false" customHeight="false" outlineLevel="0" collapsed="false">
      <c r="A156" s="20"/>
      <c r="B156" s="21"/>
    </row>
    <row r="157" customFormat="false" ht="13.8" hidden="false" customHeight="false" outlineLevel="0" collapsed="false">
      <c r="A157" s="20"/>
      <c r="B157" s="21"/>
    </row>
    <row r="158" customFormat="false" ht="13.8" hidden="false" customHeight="false" outlineLevel="0" collapsed="false">
      <c r="A158" s="20"/>
      <c r="B158" s="21"/>
    </row>
    <row r="159" customFormat="false" ht="13.8" hidden="false" customHeight="false" outlineLevel="0" collapsed="false">
      <c r="A159" s="20"/>
      <c r="B159" s="21"/>
    </row>
    <row r="160" customFormat="false" ht="13.8" hidden="false" customHeight="false" outlineLevel="0" collapsed="false">
      <c r="A160" s="20"/>
      <c r="B160" s="21"/>
    </row>
    <row r="161" customFormat="false" ht="13.8" hidden="false" customHeight="false" outlineLevel="0" collapsed="false">
      <c r="A161" s="20"/>
      <c r="B161" s="21"/>
    </row>
    <row r="162" customFormat="false" ht="13.8" hidden="false" customHeight="false" outlineLevel="0" collapsed="false">
      <c r="A162" s="20"/>
      <c r="B162" s="21"/>
    </row>
    <row r="163" customFormat="false" ht="13.8" hidden="false" customHeight="false" outlineLevel="0" collapsed="false">
      <c r="A163" s="20"/>
      <c r="B163" s="21"/>
    </row>
    <row r="164" customFormat="false" ht="13.8" hidden="false" customHeight="false" outlineLevel="0" collapsed="false">
      <c r="A164" s="20"/>
      <c r="B164" s="21"/>
    </row>
    <row r="165" customFormat="false" ht="13.8" hidden="false" customHeight="false" outlineLevel="0" collapsed="false">
      <c r="A165" s="20"/>
      <c r="B165" s="21"/>
    </row>
    <row r="166" customFormat="false" ht="13.8" hidden="false" customHeight="false" outlineLevel="0" collapsed="false">
      <c r="A166" s="20"/>
      <c r="B166" s="21"/>
    </row>
    <row r="167" customFormat="false" ht="13.8" hidden="false" customHeight="false" outlineLevel="0" collapsed="false">
      <c r="A167" s="20"/>
      <c r="B167" s="21"/>
    </row>
    <row r="168" customFormat="false" ht="13.8" hidden="false" customHeight="false" outlineLevel="0" collapsed="false">
      <c r="A168" s="20"/>
      <c r="B168" s="21"/>
    </row>
    <row r="169" customFormat="false" ht="13.8" hidden="false" customHeight="false" outlineLevel="0" collapsed="false">
      <c r="A169" s="20"/>
      <c r="B169" s="21"/>
    </row>
    <row r="170" customFormat="false" ht="13.8" hidden="false" customHeight="false" outlineLevel="0" collapsed="false">
      <c r="A170" s="20"/>
      <c r="B170" s="21"/>
    </row>
    <row r="171" customFormat="false" ht="13.8" hidden="false" customHeight="false" outlineLevel="0" collapsed="false">
      <c r="A171" s="20"/>
      <c r="B171" s="21"/>
    </row>
  </sheetData>
  <autoFilter ref="A1:C171"/>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0" sqref="D1"/>
    </sheetView>
  </sheetViews>
  <sheetFormatPr defaultColWidth="8.59765625" defaultRowHeight="13.8" zeroHeight="false" outlineLevelRow="0" outlineLevelCol="0"/>
  <cols>
    <col collapsed="false" customWidth="true" hidden="false" outlineLevel="0" max="1" min="1" style="1" width="17.09"/>
    <col collapsed="false" customWidth="false" hidden="false" outlineLevel="0" max="12" min="2" style="1" width="8.57"/>
    <col collapsed="false" customWidth="true" hidden="false" outlineLevel="0" max="16384" min="16382" style="0" width="10.16"/>
  </cols>
  <sheetData>
    <row r="1" customFormat="false" ht="90.7" hidden="false" customHeight="true" outlineLevel="0" collapsed="false">
      <c r="A1" s="2" t="s">
        <v>0</v>
      </c>
      <c r="B1" s="3" t="s">
        <v>1</v>
      </c>
      <c r="C1" s="3" t="s">
        <v>6</v>
      </c>
      <c r="D1" s="3" t="s">
        <v>55</v>
      </c>
      <c r="E1" s="3" t="s">
        <v>102</v>
      </c>
      <c r="F1" s="3" t="s">
        <v>100</v>
      </c>
      <c r="G1" s="3" t="s">
        <v>52</v>
      </c>
      <c r="H1" s="3" t="s">
        <v>135</v>
      </c>
    </row>
    <row r="2" customFormat="false" ht="13.8" hidden="false" customHeight="false" outlineLevel="0" collapsed="false">
      <c r="A2" s="6" t="s">
        <v>155</v>
      </c>
      <c r="B2" s="7" t="n">
        <v>4</v>
      </c>
      <c r="C2" s="7"/>
      <c r="D2" s="7"/>
      <c r="E2" s="7"/>
      <c r="F2" s="7"/>
      <c r="G2" s="7"/>
      <c r="H2" s="7" t="n">
        <v>32</v>
      </c>
    </row>
    <row r="3" customFormat="false" ht="13.8" hidden="false" customHeight="false" outlineLevel="0" collapsed="false">
      <c r="A3" s="6" t="s">
        <v>156</v>
      </c>
      <c r="B3" s="7" t="n">
        <v>5</v>
      </c>
      <c r="C3" s="7"/>
      <c r="D3" s="7" t="n">
        <v>10</v>
      </c>
      <c r="E3" s="7"/>
      <c r="F3" s="7"/>
      <c r="G3" s="7"/>
      <c r="H3" s="7" t="n">
        <v>35</v>
      </c>
    </row>
    <row r="4" customFormat="false" ht="13.8" hidden="false" customHeight="false" outlineLevel="0" collapsed="false">
      <c r="A4" s="6" t="s">
        <v>157</v>
      </c>
      <c r="B4" s="7" t="n">
        <v>7</v>
      </c>
      <c r="C4" s="7"/>
      <c r="D4" s="7"/>
      <c r="E4" s="7" t="n">
        <v>13</v>
      </c>
      <c r="F4" s="7" t="n">
        <v>12</v>
      </c>
      <c r="G4" s="7"/>
      <c r="H4" s="7" t="n">
        <v>84</v>
      </c>
    </row>
    <row r="5" customFormat="false" ht="13.8" hidden="false" customHeight="false" outlineLevel="0" collapsed="false">
      <c r="A5" s="6" t="s">
        <v>158</v>
      </c>
      <c r="B5" s="7" t="n">
        <v>12</v>
      </c>
      <c r="C5" s="7" t="n">
        <v>0.45</v>
      </c>
      <c r="D5" s="7"/>
      <c r="E5" s="7"/>
      <c r="F5" s="7"/>
      <c r="G5" s="7"/>
      <c r="H5" s="7" t="n">
        <v>144</v>
      </c>
    </row>
    <row r="6" customFormat="false" ht="13.8" hidden="false" customHeight="false" outlineLevel="0" collapsed="false">
      <c r="A6" s="4" t="s">
        <v>159</v>
      </c>
      <c r="B6" s="5" t="n">
        <v>18</v>
      </c>
      <c r="C6" s="5" t="n">
        <v>0.12</v>
      </c>
      <c r="D6" s="5" t="n">
        <v>18</v>
      </c>
      <c r="E6" s="5" t="n">
        <v>72</v>
      </c>
      <c r="F6" s="5" t="n">
        <v>18</v>
      </c>
      <c r="G6" s="5" t="n">
        <v>90</v>
      </c>
      <c r="H6" s="5"/>
    </row>
    <row r="7" customFormat="false" ht="13.8" hidden="false" customHeight="false" outlineLevel="0" collapsed="false">
      <c r="A7" s="4" t="s">
        <v>160</v>
      </c>
      <c r="B7" s="5" t="n">
        <v>6</v>
      </c>
      <c r="C7" s="5"/>
      <c r="D7" s="5" t="n">
        <v>6</v>
      </c>
      <c r="E7" s="5"/>
      <c r="F7" s="5"/>
      <c r="G7" s="5" t="n">
        <v>84</v>
      </c>
      <c r="H7" s="5"/>
    </row>
    <row r="8" customFormat="false" ht="13.8" hidden="false" customHeight="false" outlineLevel="0" collapsed="false">
      <c r="A8" s="6" t="s">
        <v>161</v>
      </c>
      <c r="B8" s="7" t="n">
        <v>4</v>
      </c>
      <c r="C8" s="7" t="n">
        <v>0.1</v>
      </c>
      <c r="D8" s="7"/>
      <c r="E8" s="7"/>
      <c r="F8" s="7"/>
      <c r="G8" s="7" t="n">
        <v>35</v>
      </c>
      <c r="H8" s="7"/>
    </row>
    <row r="9" customFormat="false" ht="13.8" hidden="false" customHeight="false" outlineLevel="0" collapsed="false">
      <c r="A9" s="4" t="s">
        <v>162</v>
      </c>
      <c r="B9" s="5" t="n">
        <v>1</v>
      </c>
      <c r="C9" s="5"/>
      <c r="D9" s="5" t="n">
        <v>5</v>
      </c>
      <c r="E9" s="5"/>
      <c r="F9" s="5"/>
      <c r="G9" s="5"/>
      <c r="H9" s="5"/>
    </row>
    <row r="10" customFormat="false" ht="13.8" hidden="false" customHeight="false" outlineLevel="0" collapsed="false">
      <c r="A10" s="6" t="s">
        <v>163</v>
      </c>
      <c r="B10" s="7" t="n">
        <v>2</v>
      </c>
      <c r="C10" s="7"/>
      <c r="D10" s="7"/>
      <c r="E10" s="7" t="n">
        <v>25</v>
      </c>
      <c r="F10" s="7" t="n">
        <v>15</v>
      </c>
      <c r="G10" s="7"/>
      <c r="H10" s="7"/>
    </row>
  </sheetData>
  <autoFilter ref="A1:H10"/>
  <conditionalFormatting sqref="A1:H1">
    <cfRule type="expression" priority="2" aboveAverage="0" equalAverage="0" bottom="0" percent="0" rank="0" text="" dxfId="0">
      <formula>AND(OR(COUNTIF('master sheet'!$A$2:$A$111,A1)&gt;0,COUNTIF('master sheet'!$C$2:$C$111,A1)&gt;0),IF(COUNTIF('master sheet'!$A$2:$A$111,A1)&gt;0,INDEX('master sheet'!$B$2:$B$111,MATCH(A1,'master sheet'!$A$2:$A$111,0)),INDEX('master sheet'!$B$2:$B$111,MATCH(A1,'master sheet'!$C$2:$C$111,0)))&lt;&gt;"")</formula>
    </cfRule>
  </conditionalFormatting>
  <conditionalFormatting sqref="A1:H1">
    <cfRule type="expression" priority="3" aboveAverage="0" equalAverage="0" bottom="0" percent="0" rank="0" text="" dxfId="1">
      <formula>AND(COUNTIF('master sheet'!$A$2:$A$111,A1)=0,COUNTIF('master sheet'!$C$2:$C$111,A1)=0)</formula>
    </cfRule>
  </conditionalFormatting>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&amp;C&amp;"Arial,Regular"&amp;10&amp;Kffffff&amp;A</oddHeader>
    <oddFooter>&amp;C&amp;"Arial,Regular"&amp;10&amp;KffffffPage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J1" activeCellId="0" sqref="J1"/>
    </sheetView>
  </sheetViews>
  <sheetFormatPr defaultColWidth="8.59765625" defaultRowHeight="13.8" zeroHeight="false" outlineLevelRow="0" outlineLevelCol="0"/>
  <cols>
    <col collapsed="false" customWidth="true" hidden="false" outlineLevel="0" max="1" min="1" style="1" width="27.21"/>
    <col collapsed="false" customWidth="true" hidden="false" outlineLevel="0" max="12" min="2" style="1" width="6.74"/>
    <col collapsed="false" customWidth="true" hidden="false" outlineLevel="0" max="55" min="13" style="0" width="6.74"/>
  </cols>
  <sheetData>
    <row r="1" customFormat="false" ht="90.7" hidden="false" customHeight="true" outlineLevel="0" collapsed="false">
      <c r="A1" s="22" t="s">
        <v>0</v>
      </c>
      <c r="B1" s="3" t="s">
        <v>1</v>
      </c>
      <c r="C1" s="3" t="s">
        <v>66</v>
      </c>
      <c r="D1" s="3" t="s">
        <v>67</v>
      </c>
      <c r="E1" s="3" t="s">
        <v>7</v>
      </c>
      <c r="F1" s="3" t="s">
        <v>85</v>
      </c>
      <c r="G1" s="3" t="s">
        <v>131</v>
      </c>
      <c r="H1" s="3"/>
      <c r="I1" s="3" t="s">
        <v>164</v>
      </c>
      <c r="J1" s="23" t="s">
        <v>25</v>
      </c>
      <c r="K1" s="3"/>
      <c r="L1" s="3" t="s">
        <v>64</v>
      </c>
    </row>
    <row r="2" customFormat="false" ht="13.8" hidden="false" customHeight="false" outlineLevel="0" collapsed="false">
      <c r="A2" s="24" t="s">
        <v>165</v>
      </c>
      <c r="B2" s="25" t="n">
        <v>169</v>
      </c>
      <c r="C2" s="25" t="n">
        <v>2616</v>
      </c>
      <c r="D2" s="25" t="n">
        <f aca="false">C2/B2</f>
        <v>15.4792899408284</v>
      </c>
      <c r="E2" s="25" t="n">
        <v>9240</v>
      </c>
      <c r="F2" s="25" t="n">
        <f aca="false">E2/C2</f>
        <v>3.53211009174312</v>
      </c>
      <c r="G2" s="25"/>
      <c r="H2" s="25"/>
      <c r="I2" s="25"/>
      <c r="J2" s="25"/>
      <c r="K2" s="25"/>
      <c r="L2" s="25"/>
    </row>
    <row r="3" customFormat="false" ht="13.8" hidden="false" customHeight="false" outlineLevel="0" collapsed="false">
      <c r="A3" s="26" t="s">
        <v>166</v>
      </c>
      <c r="B3" s="25" t="n">
        <v>24</v>
      </c>
      <c r="C3" s="27" t="n">
        <v>360</v>
      </c>
      <c r="D3" s="25" t="n">
        <f aca="false">C3/B3</f>
        <v>15</v>
      </c>
      <c r="E3" s="27" t="n">
        <v>2880</v>
      </c>
      <c r="F3" s="25" t="n">
        <f aca="false">E3/C3</f>
        <v>8</v>
      </c>
      <c r="G3" s="25"/>
      <c r="H3" s="25"/>
      <c r="I3" s="25"/>
      <c r="J3" s="25"/>
      <c r="K3" s="25"/>
      <c r="L3" s="27"/>
    </row>
    <row r="4" customFormat="false" ht="13.8" hidden="false" customHeight="false" outlineLevel="0" collapsed="false">
      <c r="A4" s="26" t="s">
        <v>167</v>
      </c>
      <c r="B4" s="25" t="n">
        <v>93</v>
      </c>
      <c r="C4" s="27" t="n">
        <v>1320</v>
      </c>
      <c r="D4" s="25" t="n">
        <f aca="false">C4/B4</f>
        <v>14.1935483870968</v>
      </c>
      <c r="E4" s="27" t="n">
        <v>4320</v>
      </c>
      <c r="F4" s="25" t="n">
        <f aca="false">E4/C4</f>
        <v>3.27272727272727</v>
      </c>
      <c r="G4" s="25"/>
      <c r="H4" s="25"/>
      <c r="I4" s="25"/>
      <c r="J4" s="25"/>
      <c r="K4" s="25"/>
      <c r="L4" s="27"/>
    </row>
    <row r="5" customFormat="false" ht="13.8" hidden="false" customHeight="false" outlineLevel="0" collapsed="false">
      <c r="A5" s="24" t="s">
        <v>168</v>
      </c>
      <c r="B5" s="25" t="n">
        <v>54</v>
      </c>
      <c r="C5" s="25" t="n">
        <v>714</v>
      </c>
      <c r="D5" s="25" t="n">
        <f aca="false">C5/B5</f>
        <v>13.2222222222222</v>
      </c>
      <c r="E5" s="25" t="n">
        <v>2160</v>
      </c>
      <c r="F5" s="25" t="n">
        <f aca="false">E5/C5</f>
        <v>3.02521008403361</v>
      </c>
      <c r="G5" s="25"/>
      <c r="H5" s="25"/>
      <c r="I5" s="25"/>
      <c r="J5" s="25"/>
      <c r="K5" s="25"/>
      <c r="L5" s="25"/>
    </row>
    <row r="6" customFormat="false" ht="13.8" hidden="false" customHeight="false" outlineLevel="0" collapsed="false">
      <c r="A6" s="26" t="s">
        <v>169</v>
      </c>
      <c r="B6" s="25" t="n">
        <v>13</v>
      </c>
      <c r="C6" s="27" t="n">
        <v>168</v>
      </c>
      <c r="D6" s="25" t="n">
        <f aca="false">C6/B6</f>
        <v>12.9230769230769</v>
      </c>
      <c r="E6" s="27" t="n">
        <v>294</v>
      </c>
      <c r="F6" s="25" t="n">
        <f aca="false">E6/C6</f>
        <v>1.75</v>
      </c>
      <c r="G6" s="25"/>
      <c r="H6" s="25"/>
      <c r="I6" s="25"/>
      <c r="J6" s="25"/>
      <c r="K6" s="25"/>
      <c r="L6" s="27"/>
    </row>
    <row r="7" customFormat="false" ht="13.8" hidden="false" customHeight="false" outlineLevel="0" collapsed="false">
      <c r="A7" s="26" t="s">
        <v>170</v>
      </c>
      <c r="B7" s="25" t="n">
        <v>152</v>
      </c>
      <c r="C7" s="27" t="n">
        <v>1878</v>
      </c>
      <c r="D7" s="25" t="n">
        <f aca="false">C7/B7</f>
        <v>12.3552631578947</v>
      </c>
      <c r="E7" s="27" t="n">
        <v>2340</v>
      </c>
      <c r="F7" s="25" t="n">
        <f aca="false">E7/C7</f>
        <v>1.24600638977636</v>
      </c>
      <c r="G7" s="25"/>
      <c r="H7" s="25"/>
      <c r="I7" s="25"/>
      <c r="J7" s="25"/>
      <c r="K7" s="25"/>
      <c r="L7" s="27" t="n">
        <v>8900</v>
      </c>
    </row>
    <row r="8" customFormat="false" ht="13.8" hidden="false" customHeight="false" outlineLevel="0" collapsed="false">
      <c r="A8" s="24" t="s">
        <v>171</v>
      </c>
      <c r="B8" s="25" t="n">
        <v>127</v>
      </c>
      <c r="C8" s="25" t="n">
        <v>1491</v>
      </c>
      <c r="D8" s="25" t="n">
        <f aca="false">C8/B8</f>
        <v>11.740157480315</v>
      </c>
      <c r="E8" s="25" t="n">
        <v>1920</v>
      </c>
      <c r="F8" s="25" t="n">
        <f aca="false">E8/C8</f>
        <v>1.28772635814889</v>
      </c>
      <c r="G8" s="25"/>
      <c r="H8" s="25"/>
      <c r="I8" s="25"/>
      <c r="J8" s="25"/>
      <c r="K8" s="25"/>
      <c r="L8" s="25" t="n">
        <v>6700</v>
      </c>
    </row>
    <row r="9" customFormat="false" ht="13.8" hidden="false" customHeight="false" outlineLevel="0" collapsed="false">
      <c r="A9" s="26" t="s">
        <v>172</v>
      </c>
      <c r="B9" s="25" t="n">
        <v>90</v>
      </c>
      <c r="C9" s="27" t="n">
        <v>1038</v>
      </c>
      <c r="D9" s="25" t="n">
        <f aca="false">C9/B9</f>
        <v>11.5333333333333</v>
      </c>
      <c r="E9" s="27" t="n">
        <v>2040</v>
      </c>
      <c r="F9" s="25" t="n">
        <f aca="false">E9/C9</f>
        <v>1.96531791907514</v>
      </c>
      <c r="G9" s="25"/>
      <c r="H9" s="25"/>
      <c r="I9" s="25"/>
      <c r="J9" s="25"/>
      <c r="K9" s="25"/>
      <c r="L9" s="27"/>
    </row>
    <row r="10" customFormat="false" ht="13.8" hidden="false" customHeight="false" outlineLevel="0" collapsed="false">
      <c r="A10" s="26" t="s">
        <v>173</v>
      </c>
      <c r="B10" s="25" t="n">
        <v>82</v>
      </c>
      <c r="C10" s="27" t="n">
        <v>912</v>
      </c>
      <c r="D10" s="25" t="n">
        <f aca="false">C10/B10</f>
        <v>11.1219512195122</v>
      </c>
      <c r="E10" s="27" t="n">
        <v>1260</v>
      </c>
      <c r="F10" s="25" t="n">
        <f aca="false">E10/C10</f>
        <v>1.38157894736842</v>
      </c>
      <c r="G10" s="25"/>
      <c r="H10" s="25"/>
      <c r="I10" s="25"/>
      <c r="J10" s="25"/>
      <c r="K10" s="25"/>
      <c r="L10" s="27" t="n">
        <v>2600</v>
      </c>
    </row>
    <row r="11" customFormat="false" ht="13.8" hidden="false" customHeight="false" outlineLevel="0" collapsed="false">
      <c r="A11" s="24" t="s">
        <v>174</v>
      </c>
      <c r="B11" s="25" t="n">
        <v>100</v>
      </c>
      <c r="C11" s="25" t="n">
        <v>1092</v>
      </c>
      <c r="D11" s="25" t="n">
        <f aca="false">C11/B11</f>
        <v>10.92</v>
      </c>
      <c r="E11" s="25" t="n">
        <v>2400</v>
      </c>
      <c r="F11" s="25" t="n">
        <f aca="false">E11/C11</f>
        <v>2.1978021978022</v>
      </c>
      <c r="G11" s="25"/>
      <c r="H11" s="25"/>
      <c r="I11" s="25"/>
      <c r="J11" s="25"/>
      <c r="K11" s="25"/>
      <c r="L11" s="25"/>
    </row>
    <row r="12" customFormat="false" ht="13.8" hidden="false" customHeight="false" outlineLevel="0" collapsed="false">
      <c r="A12" s="24" t="s">
        <v>175</v>
      </c>
      <c r="B12" s="25" t="n">
        <v>47</v>
      </c>
      <c r="C12" s="25" t="n">
        <v>498</v>
      </c>
      <c r="D12" s="25" t="n">
        <f aca="false">C12/B12</f>
        <v>10.5957446808511</v>
      </c>
      <c r="E12" s="25" t="n">
        <v>780</v>
      </c>
      <c r="F12" s="25" t="n">
        <f aca="false">E12/C12</f>
        <v>1.56626506024096</v>
      </c>
      <c r="G12" s="25"/>
      <c r="H12" s="25"/>
      <c r="I12" s="25"/>
      <c r="J12" s="25"/>
      <c r="K12" s="25"/>
      <c r="L12" s="25" t="n">
        <v>1100</v>
      </c>
    </row>
    <row r="13" customFormat="false" ht="13.8" hidden="false" customHeight="false" outlineLevel="0" collapsed="false">
      <c r="A13" s="24" t="s">
        <v>176</v>
      </c>
      <c r="B13" s="25" t="n">
        <v>22</v>
      </c>
      <c r="C13" s="25" t="n">
        <v>228</v>
      </c>
      <c r="D13" s="25" t="n">
        <f aca="false">C13/B13</f>
        <v>10.3636363636364</v>
      </c>
      <c r="E13" s="25" t="n">
        <v>348</v>
      </c>
      <c r="F13" s="25" t="n">
        <f aca="false">E13/C13</f>
        <v>1.52631578947368</v>
      </c>
      <c r="G13" s="25"/>
      <c r="H13" s="25"/>
      <c r="I13" s="25"/>
      <c r="J13" s="25"/>
      <c r="K13" s="25"/>
      <c r="L13" s="25"/>
    </row>
    <row r="14" customFormat="false" ht="13.8" hidden="false" customHeight="false" outlineLevel="0" collapsed="false">
      <c r="A14" s="26" t="s">
        <v>177</v>
      </c>
      <c r="B14" s="25" t="n">
        <v>80</v>
      </c>
      <c r="C14" s="27" t="n">
        <v>768</v>
      </c>
      <c r="D14" s="25" t="n">
        <f aca="false">C14/B14</f>
        <v>9.6</v>
      </c>
      <c r="E14" s="27" t="n">
        <v>2100</v>
      </c>
      <c r="F14" s="25" t="n">
        <f aca="false">E14/C14</f>
        <v>2.734375</v>
      </c>
      <c r="G14" s="25"/>
      <c r="H14" s="25"/>
      <c r="I14" s="25"/>
      <c r="J14" s="25"/>
      <c r="K14" s="25"/>
      <c r="L14" s="27"/>
    </row>
    <row r="15" customFormat="false" ht="13.8" hidden="false" customHeight="false" outlineLevel="0" collapsed="false">
      <c r="A15" s="24" t="s">
        <v>178</v>
      </c>
      <c r="B15" s="25" t="n">
        <v>21</v>
      </c>
      <c r="C15" s="25"/>
      <c r="D15" s="25"/>
      <c r="E15" s="25"/>
      <c r="F15" s="25"/>
      <c r="G15" s="25" t="n">
        <v>198</v>
      </c>
      <c r="H15" s="25" t="n">
        <f aca="false">G15/B15</f>
        <v>9.42857142857143</v>
      </c>
      <c r="I15" s="25" t="n">
        <v>90</v>
      </c>
      <c r="J15" s="25"/>
      <c r="K15" s="25" t="n">
        <f aca="false">I15/G15</f>
        <v>0.454545454545455</v>
      </c>
      <c r="L15" s="25"/>
    </row>
    <row r="16" customFormat="false" ht="13.8" hidden="false" customHeight="false" outlineLevel="0" collapsed="false">
      <c r="A16" s="24" t="s">
        <v>179</v>
      </c>
      <c r="B16" s="25" t="n">
        <v>58</v>
      </c>
      <c r="C16" s="25" t="n">
        <v>534</v>
      </c>
      <c r="D16" s="25" t="n">
        <f aca="false">C16/B16</f>
        <v>9.20689655172414</v>
      </c>
      <c r="E16" s="25" t="n">
        <v>1272</v>
      </c>
      <c r="F16" s="25" t="n">
        <f aca="false">E16/C16</f>
        <v>2.38202247191011</v>
      </c>
      <c r="G16" s="25"/>
      <c r="H16" s="25"/>
      <c r="I16" s="25"/>
      <c r="J16" s="25"/>
      <c r="K16" s="25"/>
      <c r="L16" s="25"/>
    </row>
    <row r="17" customFormat="false" ht="13.8" hidden="false" customHeight="false" outlineLevel="0" collapsed="false">
      <c r="A17" s="26" t="s">
        <v>180</v>
      </c>
      <c r="B17" s="25" t="n">
        <v>71</v>
      </c>
      <c r="C17" s="27" t="n">
        <v>624</v>
      </c>
      <c r="D17" s="25" t="n">
        <f aca="false">C17/B17</f>
        <v>8.7887323943662</v>
      </c>
      <c r="E17" s="27" t="n">
        <v>1620</v>
      </c>
      <c r="F17" s="25" t="n">
        <f aca="false">E17/C17</f>
        <v>2.59615384615385</v>
      </c>
      <c r="G17" s="25"/>
      <c r="H17" s="25"/>
      <c r="I17" s="25"/>
      <c r="J17" s="25"/>
      <c r="K17" s="25"/>
      <c r="L17" s="27"/>
    </row>
    <row r="18" customFormat="false" ht="13.8" hidden="false" customHeight="false" outlineLevel="0" collapsed="false">
      <c r="A18" s="24" t="s">
        <v>181</v>
      </c>
      <c r="B18" s="25" t="n">
        <v>65</v>
      </c>
      <c r="C18" s="25" t="n">
        <v>564</v>
      </c>
      <c r="D18" s="25" t="n">
        <f aca="false">C18/B18</f>
        <v>8.67692307692308</v>
      </c>
      <c r="E18" s="25" t="n">
        <v>1500</v>
      </c>
      <c r="F18" s="25" t="n">
        <f aca="false">E18/C18</f>
        <v>2.65957446808511</v>
      </c>
      <c r="G18" s="25"/>
      <c r="H18" s="25"/>
      <c r="I18" s="25"/>
      <c r="J18" s="25"/>
      <c r="K18" s="25"/>
      <c r="L18" s="25"/>
    </row>
    <row r="19" customFormat="false" ht="13.8" hidden="false" customHeight="false" outlineLevel="0" collapsed="false">
      <c r="A19" s="24" t="s">
        <v>182</v>
      </c>
      <c r="B19" s="25" t="n">
        <v>39</v>
      </c>
      <c r="C19" s="25" t="n">
        <v>330</v>
      </c>
      <c r="D19" s="25" t="n">
        <f aca="false">C19/B19</f>
        <v>8.46153846153846</v>
      </c>
      <c r="E19" s="25" t="n">
        <v>780</v>
      </c>
      <c r="F19" s="25" t="n">
        <f aca="false">E19/C19</f>
        <v>2.36363636363636</v>
      </c>
      <c r="G19" s="25"/>
      <c r="H19" s="25"/>
      <c r="I19" s="25"/>
      <c r="J19" s="25"/>
      <c r="K19" s="25"/>
      <c r="L19" s="25"/>
    </row>
    <row r="20" customFormat="false" ht="13.8" hidden="false" customHeight="false" outlineLevel="0" collapsed="false">
      <c r="A20" s="26" t="s">
        <v>183</v>
      </c>
      <c r="B20" s="25" t="n">
        <v>32</v>
      </c>
      <c r="C20" s="27" t="n">
        <v>270</v>
      </c>
      <c r="D20" s="25" t="n">
        <f aca="false">C20/B20</f>
        <v>8.4375</v>
      </c>
      <c r="E20" s="27" t="n">
        <v>714</v>
      </c>
      <c r="F20" s="25" t="n">
        <f aca="false">E20/C20</f>
        <v>2.64444444444444</v>
      </c>
      <c r="G20" s="25"/>
      <c r="H20" s="25"/>
      <c r="I20" s="25"/>
      <c r="J20" s="25"/>
      <c r="K20" s="25"/>
      <c r="L20" s="27"/>
    </row>
    <row r="21" customFormat="false" ht="13.8" hidden="false" customHeight="false" outlineLevel="0" collapsed="false">
      <c r="A21" s="26" t="s">
        <v>184</v>
      </c>
      <c r="B21" s="25" t="n">
        <v>160</v>
      </c>
      <c r="C21" s="27" t="n">
        <v>1314</v>
      </c>
      <c r="D21" s="25" t="n">
        <f aca="false">C21/B21</f>
        <v>8.2125</v>
      </c>
      <c r="E21" s="27" t="n">
        <v>1890</v>
      </c>
      <c r="F21" s="25" t="n">
        <f aca="false">E21/C21</f>
        <v>1.43835616438356</v>
      </c>
      <c r="G21" s="25"/>
      <c r="H21" s="25"/>
      <c r="I21" s="25"/>
      <c r="J21" s="25"/>
      <c r="K21" s="25"/>
      <c r="L21" s="27"/>
    </row>
    <row r="22" customFormat="false" ht="13.8" hidden="false" customHeight="false" outlineLevel="0" collapsed="false">
      <c r="A22" s="26" t="s">
        <v>185</v>
      </c>
      <c r="B22" s="25" t="n">
        <v>18</v>
      </c>
      <c r="C22" s="27"/>
      <c r="D22" s="25"/>
      <c r="E22" s="27"/>
      <c r="F22" s="25"/>
      <c r="G22" s="25" t="n">
        <v>144</v>
      </c>
      <c r="H22" s="25" t="n">
        <f aca="false">G22/B22</f>
        <v>8</v>
      </c>
      <c r="I22" s="25" t="n">
        <v>61.2</v>
      </c>
      <c r="J22" s="25"/>
      <c r="K22" s="25" t="n">
        <f aca="false">I22/G22</f>
        <v>0.425</v>
      </c>
      <c r="L22" s="27"/>
    </row>
    <row r="23" customFormat="false" ht="13.8" hidden="false" customHeight="false" outlineLevel="0" collapsed="false">
      <c r="A23" s="26" t="s">
        <v>186</v>
      </c>
      <c r="B23" s="25" t="n">
        <v>6</v>
      </c>
      <c r="C23" s="27"/>
      <c r="D23" s="25"/>
      <c r="E23" s="27"/>
      <c r="F23" s="25"/>
      <c r="G23" s="25" t="n">
        <v>48</v>
      </c>
      <c r="H23" s="25" t="n">
        <f aca="false">G23/B23</f>
        <v>8</v>
      </c>
      <c r="I23" s="25" t="n">
        <v>24</v>
      </c>
      <c r="J23" s="25"/>
      <c r="K23" s="25" t="n">
        <f aca="false">I23/G23</f>
        <v>0.5</v>
      </c>
      <c r="L23" s="27"/>
    </row>
    <row r="24" customFormat="false" ht="13.8" hidden="false" customHeight="false" outlineLevel="0" collapsed="false">
      <c r="A24" s="26" t="s">
        <v>187</v>
      </c>
      <c r="B24" s="25" t="n">
        <v>36</v>
      </c>
      <c r="C24" s="27" t="n">
        <v>288</v>
      </c>
      <c r="D24" s="25" t="n">
        <f aca="false">C24/B24</f>
        <v>8</v>
      </c>
      <c r="E24" s="27" t="n">
        <v>840</v>
      </c>
      <c r="F24" s="25" t="n">
        <f aca="false">E24/C24</f>
        <v>2.91666666666667</v>
      </c>
      <c r="G24" s="25"/>
      <c r="H24" s="25"/>
      <c r="I24" s="25"/>
      <c r="J24" s="25"/>
      <c r="K24" s="25"/>
      <c r="L24" s="27"/>
    </row>
    <row r="25" customFormat="false" ht="13.8" hidden="false" customHeight="false" outlineLevel="0" collapsed="false">
      <c r="A25" s="26" t="s">
        <v>188</v>
      </c>
      <c r="B25" s="25" t="n">
        <v>17</v>
      </c>
      <c r="C25" s="27" t="n">
        <v>135</v>
      </c>
      <c r="D25" s="25" t="n">
        <f aca="false">C25/B25</f>
        <v>7.94117647058824</v>
      </c>
      <c r="E25" s="27" t="n">
        <v>228</v>
      </c>
      <c r="F25" s="25" t="n">
        <f aca="false">E25/C25</f>
        <v>1.68888888888889</v>
      </c>
      <c r="G25" s="25"/>
      <c r="H25" s="25"/>
      <c r="I25" s="25"/>
      <c r="J25" s="25"/>
      <c r="K25" s="25"/>
      <c r="L25" s="27" t="n">
        <v>2000</v>
      </c>
    </row>
    <row r="26" customFormat="false" ht="13.8" hidden="false" customHeight="false" outlineLevel="0" collapsed="false">
      <c r="A26" s="24" t="s">
        <v>189</v>
      </c>
      <c r="B26" s="25" t="n">
        <v>98</v>
      </c>
      <c r="C26" s="25" t="n">
        <v>762</v>
      </c>
      <c r="D26" s="25" t="n">
        <f aca="false">C26/B26</f>
        <v>7.77551020408163</v>
      </c>
      <c r="E26" s="25" t="n">
        <v>1188</v>
      </c>
      <c r="F26" s="25" t="n">
        <f aca="false">E26/C26</f>
        <v>1.55905511811024</v>
      </c>
      <c r="G26" s="25"/>
      <c r="H26" s="25"/>
      <c r="I26" s="25"/>
      <c r="J26" s="25"/>
      <c r="K26" s="25"/>
      <c r="L26" s="25"/>
    </row>
    <row r="27" customFormat="false" ht="13.8" hidden="false" customHeight="false" outlineLevel="0" collapsed="false">
      <c r="A27" s="28" t="s">
        <v>190</v>
      </c>
      <c r="B27" s="25" t="n">
        <v>43</v>
      </c>
      <c r="C27" s="29"/>
      <c r="D27" s="25"/>
      <c r="E27" s="29"/>
      <c r="F27" s="25"/>
      <c r="G27" s="25" t="n">
        <v>313.2</v>
      </c>
      <c r="H27" s="25" t="n">
        <f aca="false">G27/B27</f>
        <v>7.28372093023256</v>
      </c>
      <c r="I27" s="25" t="n">
        <v>151.2</v>
      </c>
      <c r="J27" s="25"/>
      <c r="K27" s="25" t="n">
        <f aca="false">I27/G27</f>
        <v>0.482758620689655</v>
      </c>
      <c r="L27" s="29" t="n">
        <v>6000</v>
      </c>
    </row>
    <row r="28" customFormat="false" ht="13.8" hidden="false" customHeight="false" outlineLevel="0" collapsed="false">
      <c r="A28" s="30" t="s">
        <v>191</v>
      </c>
      <c r="B28" s="25" t="n">
        <v>42</v>
      </c>
      <c r="C28" s="31"/>
      <c r="D28" s="25"/>
      <c r="E28" s="31"/>
      <c r="F28" s="25"/>
      <c r="G28" s="25" t="n">
        <v>304.5</v>
      </c>
      <c r="H28" s="25" t="n">
        <f aca="false">G28/B28</f>
        <v>7.25</v>
      </c>
      <c r="I28" s="25" t="n">
        <v>147</v>
      </c>
      <c r="J28" s="25"/>
      <c r="K28" s="25" t="n">
        <f aca="false">I28/G28</f>
        <v>0.482758620689655</v>
      </c>
      <c r="L28" s="31" t="n">
        <v>6000</v>
      </c>
    </row>
    <row r="29" customFormat="false" ht="13.8" hidden="false" customHeight="false" outlineLevel="0" collapsed="false">
      <c r="A29" s="28" t="s">
        <v>192</v>
      </c>
      <c r="B29" s="25" t="n">
        <v>41</v>
      </c>
      <c r="C29" s="29"/>
      <c r="D29" s="25"/>
      <c r="E29" s="29"/>
      <c r="F29" s="25"/>
      <c r="G29" s="25" t="n">
        <v>295.8</v>
      </c>
      <c r="H29" s="25" t="n">
        <f aca="false">G29/B29</f>
        <v>7.21463414634146</v>
      </c>
      <c r="I29" s="25" t="n">
        <v>142.8</v>
      </c>
      <c r="J29" s="25"/>
      <c r="K29" s="25" t="n">
        <f aca="false">I29/G29</f>
        <v>0.482758620689655</v>
      </c>
      <c r="L29" s="29" t="n">
        <v>6000</v>
      </c>
    </row>
    <row r="30" customFormat="false" ht="13.8" hidden="false" customHeight="false" outlineLevel="0" collapsed="false">
      <c r="A30" s="30" t="s">
        <v>193</v>
      </c>
      <c r="B30" s="25" t="n">
        <v>40</v>
      </c>
      <c r="C30" s="31"/>
      <c r="D30" s="25"/>
      <c r="E30" s="31"/>
      <c r="F30" s="25"/>
      <c r="G30" s="25" t="n">
        <v>287.1</v>
      </c>
      <c r="H30" s="25" t="n">
        <f aca="false">G30/B30</f>
        <v>7.1775</v>
      </c>
      <c r="I30" s="25" t="n">
        <v>138.6</v>
      </c>
      <c r="J30" s="25"/>
      <c r="K30" s="25" t="n">
        <f aca="false">I30/G30</f>
        <v>0.482758620689655</v>
      </c>
      <c r="L30" s="31" t="n">
        <v>6000</v>
      </c>
    </row>
    <row r="31" customFormat="false" ht="13.8" hidden="false" customHeight="false" outlineLevel="0" collapsed="false">
      <c r="A31" s="28" t="s">
        <v>194</v>
      </c>
      <c r="B31" s="25" t="n">
        <v>39</v>
      </c>
      <c r="C31" s="29"/>
      <c r="D31" s="25"/>
      <c r="E31" s="29"/>
      <c r="F31" s="25"/>
      <c r="G31" s="25" t="n">
        <v>278.4</v>
      </c>
      <c r="H31" s="25" t="n">
        <f aca="false">G31/B31</f>
        <v>7.13846153846154</v>
      </c>
      <c r="I31" s="25" t="n">
        <v>134.4</v>
      </c>
      <c r="J31" s="25"/>
      <c r="K31" s="25" t="n">
        <f aca="false">I31/G31</f>
        <v>0.482758620689655</v>
      </c>
      <c r="L31" s="29" t="n">
        <v>6000</v>
      </c>
    </row>
    <row r="32" customFormat="false" ht="13.8" hidden="false" customHeight="false" outlineLevel="0" collapsed="false">
      <c r="A32" s="30" t="s">
        <v>195</v>
      </c>
      <c r="B32" s="25" t="n">
        <v>38</v>
      </c>
      <c r="C32" s="31"/>
      <c r="D32" s="25"/>
      <c r="E32" s="31"/>
      <c r="F32" s="25"/>
      <c r="G32" s="25" t="n">
        <v>269.7</v>
      </c>
      <c r="H32" s="25" t="n">
        <f aca="false">G32/B32</f>
        <v>7.09736842105263</v>
      </c>
      <c r="I32" s="25" t="n">
        <v>130.2</v>
      </c>
      <c r="J32" s="25"/>
      <c r="K32" s="25" t="n">
        <f aca="false">I32/G32</f>
        <v>0.482758620689655</v>
      </c>
      <c r="L32" s="31" t="n">
        <v>6000</v>
      </c>
    </row>
    <row r="33" customFormat="false" ht="13.8" hidden="false" customHeight="false" outlineLevel="0" collapsed="false">
      <c r="A33" s="28" t="s">
        <v>196</v>
      </c>
      <c r="B33" s="25" t="n">
        <v>37</v>
      </c>
      <c r="C33" s="29"/>
      <c r="D33" s="25"/>
      <c r="E33" s="29"/>
      <c r="F33" s="25"/>
      <c r="G33" s="25" t="n">
        <v>261</v>
      </c>
      <c r="H33" s="25" t="n">
        <f aca="false">G33/B33</f>
        <v>7.05405405405405</v>
      </c>
      <c r="I33" s="25" t="n">
        <v>126</v>
      </c>
      <c r="J33" s="25"/>
      <c r="K33" s="25" t="n">
        <f aca="false">I33/G33</f>
        <v>0.482758620689655</v>
      </c>
      <c r="L33" s="29" t="n">
        <v>6000</v>
      </c>
    </row>
    <row r="34" customFormat="false" ht="13.8" hidden="false" customHeight="false" outlineLevel="0" collapsed="false">
      <c r="A34" s="30" t="s">
        <v>197</v>
      </c>
      <c r="B34" s="25" t="n">
        <v>36</v>
      </c>
      <c r="C34" s="31"/>
      <c r="D34" s="25"/>
      <c r="E34" s="31"/>
      <c r="F34" s="25"/>
      <c r="G34" s="25" t="n">
        <v>252.3</v>
      </c>
      <c r="H34" s="25" t="n">
        <f aca="false">G34/B34</f>
        <v>7.00833333333333</v>
      </c>
      <c r="I34" s="25" t="n">
        <v>121.8</v>
      </c>
      <c r="J34" s="25"/>
      <c r="K34" s="25" t="n">
        <f aca="false">I34/G34</f>
        <v>0.482758620689655</v>
      </c>
      <c r="L34" s="31" t="n">
        <v>6000</v>
      </c>
    </row>
    <row r="35" customFormat="false" ht="13.8" hidden="false" customHeight="false" outlineLevel="0" collapsed="false">
      <c r="A35" s="28" t="s">
        <v>198</v>
      </c>
      <c r="B35" s="25" t="n">
        <v>35</v>
      </c>
      <c r="C35" s="29"/>
      <c r="D35" s="25"/>
      <c r="E35" s="29"/>
      <c r="F35" s="25"/>
      <c r="G35" s="25" t="n">
        <v>243.6</v>
      </c>
      <c r="H35" s="25" t="n">
        <f aca="false">G35/B35</f>
        <v>6.96</v>
      </c>
      <c r="I35" s="25" t="n">
        <v>117.6</v>
      </c>
      <c r="J35" s="25"/>
      <c r="K35" s="25" t="n">
        <f aca="false">I35/G35</f>
        <v>0.482758620689655</v>
      </c>
      <c r="L35" s="29" t="n">
        <v>6000</v>
      </c>
    </row>
    <row r="36" customFormat="false" ht="13.8" hidden="false" customHeight="false" outlineLevel="0" collapsed="false">
      <c r="A36" s="24" t="s">
        <v>199</v>
      </c>
      <c r="B36" s="25" t="n">
        <v>46</v>
      </c>
      <c r="C36" s="25" t="n">
        <v>318</v>
      </c>
      <c r="D36" s="25" t="n">
        <f aca="false">C36/B36</f>
        <v>6.91304347826087</v>
      </c>
      <c r="E36" s="25" t="n">
        <v>207</v>
      </c>
      <c r="F36" s="25" t="n">
        <f aca="false">E36/C36</f>
        <v>0.650943396226415</v>
      </c>
      <c r="G36" s="25"/>
      <c r="H36" s="25"/>
      <c r="I36" s="25"/>
      <c r="J36" s="25"/>
      <c r="K36" s="25"/>
      <c r="L36" s="25"/>
    </row>
    <row r="37" customFormat="false" ht="13.8" hidden="false" customHeight="false" outlineLevel="0" collapsed="false">
      <c r="A37" s="30" t="s">
        <v>200</v>
      </c>
      <c r="B37" s="25" t="n">
        <v>34</v>
      </c>
      <c r="C37" s="31"/>
      <c r="D37" s="25"/>
      <c r="E37" s="31"/>
      <c r="F37" s="25"/>
      <c r="G37" s="25" t="n">
        <v>234.9</v>
      </c>
      <c r="H37" s="25" t="n">
        <f aca="false">G37/B37</f>
        <v>6.90882352941177</v>
      </c>
      <c r="I37" s="25" t="n">
        <v>113.4</v>
      </c>
      <c r="J37" s="25"/>
      <c r="K37" s="25" t="n">
        <f aca="false">I37/G37</f>
        <v>0.482758620689655</v>
      </c>
      <c r="L37" s="31" t="n">
        <v>6000</v>
      </c>
    </row>
    <row r="38" customFormat="false" ht="13.8" hidden="false" customHeight="false" outlineLevel="0" collapsed="false">
      <c r="A38" s="28" t="s">
        <v>201</v>
      </c>
      <c r="B38" s="25" t="n">
        <v>33</v>
      </c>
      <c r="C38" s="29"/>
      <c r="D38" s="25"/>
      <c r="E38" s="29"/>
      <c r="F38" s="25"/>
      <c r="G38" s="25" t="n">
        <v>226.2</v>
      </c>
      <c r="H38" s="25" t="n">
        <f aca="false">G38/B38</f>
        <v>6.85454545454545</v>
      </c>
      <c r="I38" s="25" t="n">
        <v>109.2</v>
      </c>
      <c r="J38" s="25"/>
      <c r="K38" s="25" t="n">
        <f aca="false">I38/G38</f>
        <v>0.482758620689655</v>
      </c>
      <c r="L38" s="29" t="n">
        <v>6000</v>
      </c>
    </row>
    <row r="39" customFormat="false" ht="13.8" hidden="false" customHeight="false" outlineLevel="0" collapsed="false">
      <c r="A39" s="30" t="s">
        <v>202</v>
      </c>
      <c r="B39" s="25" t="n">
        <v>32</v>
      </c>
      <c r="C39" s="31"/>
      <c r="D39" s="25"/>
      <c r="E39" s="31"/>
      <c r="F39" s="25"/>
      <c r="G39" s="25" t="n">
        <v>217.5</v>
      </c>
      <c r="H39" s="25" t="n">
        <f aca="false">G39/B39</f>
        <v>6.796875</v>
      </c>
      <c r="I39" s="25" t="n">
        <v>105</v>
      </c>
      <c r="J39" s="25"/>
      <c r="K39" s="25" t="n">
        <f aca="false">I39/G39</f>
        <v>0.482758620689655</v>
      </c>
      <c r="L39" s="31" t="n">
        <v>6000</v>
      </c>
    </row>
    <row r="40" customFormat="false" ht="13.8" hidden="false" customHeight="false" outlineLevel="0" collapsed="false">
      <c r="A40" s="28" t="s">
        <v>203</v>
      </c>
      <c r="B40" s="25" t="n">
        <v>31</v>
      </c>
      <c r="C40" s="29"/>
      <c r="D40" s="25"/>
      <c r="E40" s="29"/>
      <c r="F40" s="25"/>
      <c r="G40" s="25" t="n">
        <v>208.8</v>
      </c>
      <c r="H40" s="25" t="n">
        <f aca="false">G40/B40</f>
        <v>6.73548387096774</v>
      </c>
      <c r="I40" s="25" t="n">
        <v>100.8</v>
      </c>
      <c r="J40" s="25"/>
      <c r="K40" s="25" t="n">
        <f aca="false">I40/G40</f>
        <v>0.482758620689655</v>
      </c>
      <c r="L40" s="29" t="n">
        <v>6000</v>
      </c>
    </row>
    <row r="41" customFormat="false" ht="13.8" hidden="false" customHeight="false" outlineLevel="0" collapsed="false">
      <c r="A41" s="30" t="s">
        <v>204</v>
      </c>
      <c r="B41" s="25" t="n">
        <v>30</v>
      </c>
      <c r="C41" s="31"/>
      <c r="D41" s="25"/>
      <c r="E41" s="31"/>
      <c r="F41" s="25"/>
      <c r="G41" s="25" t="n">
        <v>200.1</v>
      </c>
      <c r="H41" s="25" t="n">
        <f aca="false">G41/B41</f>
        <v>6.67</v>
      </c>
      <c r="I41" s="25" t="n">
        <v>96.6</v>
      </c>
      <c r="J41" s="25"/>
      <c r="K41" s="25" t="n">
        <f aca="false">I41/G41</f>
        <v>0.482758620689655</v>
      </c>
      <c r="L41" s="31" t="n">
        <v>6000</v>
      </c>
    </row>
    <row r="42" customFormat="false" ht="13.8" hidden="false" customHeight="false" outlineLevel="0" collapsed="false">
      <c r="A42" s="28" t="s">
        <v>205</v>
      </c>
      <c r="B42" s="25" t="n">
        <v>29</v>
      </c>
      <c r="C42" s="29"/>
      <c r="D42" s="25"/>
      <c r="E42" s="29"/>
      <c r="F42" s="25"/>
      <c r="G42" s="25" t="n">
        <v>191.4</v>
      </c>
      <c r="H42" s="25" t="n">
        <f aca="false">G42/B42</f>
        <v>6.6</v>
      </c>
      <c r="I42" s="25" t="n">
        <v>92.4</v>
      </c>
      <c r="J42" s="25"/>
      <c r="K42" s="25" t="n">
        <f aca="false">I42/G42</f>
        <v>0.482758620689655</v>
      </c>
      <c r="L42" s="29" t="n">
        <v>6000</v>
      </c>
    </row>
    <row r="43" customFormat="false" ht="13.8" hidden="false" customHeight="false" outlineLevel="0" collapsed="false">
      <c r="A43" s="30" t="s">
        <v>206</v>
      </c>
      <c r="B43" s="25" t="n">
        <v>28</v>
      </c>
      <c r="C43" s="31"/>
      <c r="D43" s="25"/>
      <c r="E43" s="31"/>
      <c r="F43" s="25"/>
      <c r="G43" s="25" t="n">
        <v>182.7</v>
      </c>
      <c r="H43" s="25" t="n">
        <f aca="false">G43/B43</f>
        <v>6.525</v>
      </c>
      <c r="I43" s="25" t="n">
        <v>88.2</v>
      </c>
      <c r="J43" s="25"/>
      <c r="K43" s="25" t="n">
        <f aca="false">I43/G43</f>
        <v>0.482758620689655</v>
      </c>
      <c r="L43" s="31" t="n">
        <v>6000</v>
      </c>
    </row>
    <row r="44" customFormat="false" ht="13.8" hidden="false" customHeight="false" outlineLevel="0" collapsed="false">
      <c r="A44" s="26" t="s">
        <v>207</v>
      </c>
      <c r="B44" s="25" t="n">
        <v>75</v>
      </c>
      <c r="C44" s="27" t="n">
        <v>486</v>
      </c>
      <c r="D44" s="25" t="n">
        <f aca="false">C44/B44</f>
        <v>6.48</v>
      </c>
      <c r="E44" s="27" t="n">
        <v>318</v>
      </c>
      <c r="F44" s="25" t="n">
        <f aca="false">E44/C44</f>
        <v>0.654320987654321</v>
      </c>
      <c r="G44" s="25"/>
      <c r="H44" s="25"/>
      <c r="I44" s="25"/>
      <c r="J44" s="25"/>
      <c r="K44" s="25"/>
      <c r="L44" s="27" t="n">
        <v>8500</v>
      </c>
    </row>
    <row r="45" customFormat="false" ht="13.8" hidden="false" customHeight="false" outlineLevel="0" collapsed="false">
      <c r="A45" s="28" t="s">
        <v>208</v>
      </c>
      <c r="B45" s="25" t="n">
        <v>27</v>
      </c>
      <c r="C45" s="29"/>
      <c r="D45" s="25"/>
      <c r="E45" s="29"/>
      <c r="F45" s="25"/>
      <c r="G45" s="25" t="n">
        <v>174</v>
      </c>
      <c r="H45" s="25" t="n">
        <f aca="false">G45/B45</f>
        <v>6.44444444444445</v>
      </c>
      <c r="I45" s="25" t="n">
        <v>84</v>
      </c>
      <c r="J45" s="25"/>
      <c r="K45" s="25" t="n">
        <f aca="false">I45/G45</f>
        <v>0.482758620689655</v>
      </c>
      <c r="L45" s="29" t="n">
        <v>6000</v>
      </c>
    </row>
    <row r="46" customFormat="false" ht="13.8" hidden="false" customHeight="false" outlineLevel="0" collapsed="false">
      <c r="A46" s="30" t="s">
        <v>209</v>
      </c>
      <c r="B46" s="25" t="n">
        <v>26</v>
      </c>
      <c r="C46" s="31"/>
      <c r="D46" s="25"/>
      <c r="E46" s="31"/>
      <c r="F46" s="25"/>
      <c r="G46" s="25" t="n">
        <v>165.3</v>
      </c>
      <c r="H46" s="25" t="n">
        <f aca="false">G46/B46</f>
        <v>6.35769230769231</v>
      </c>
      <c r="I46" s="25" t="n">
        <v>79.8</v>
      </c>
      <c r="J46" s="25"/>
      <c r="K46" s="25" t="n">
        <f aca="false">I46/G46</f>
        <v>0.482758620689655</v>
      </c>
      <c r="L46" s="31" t="n">
        <v>6000</v>
      </c>
    </row>
    <row r="47" customFormat="false" ht="13.8" hidden="false" customHeight="false" outlineLevel="0" collapsed="false">
      <c r="A47" s="26" t="s">
        <v>210</v>
      </c>
      <c r="B47" s="25" t="n">
        <v>11</v>
      </c>
      <c r="C47" s="27" t="n">
        <v>69</v>
      </c>
      <c r="D47" s="25" t="n">
        <f aca="false">C47/B47</f>
        <v>6.27272727272727</v>
      </c>
      <c r="E47" s="27" t="n">
        <v>51</v>
      </c>
      <c r="F47" s="25" t="n">
        <f aca="false">E47/C47</f>
        <v>0.739130434782609</v>
      </c>
      <c r="G47" s="25"/>
      <c r="H47" s="25"/>
      <c r="I47" s="25"/>
      <c r="J47" s="25"/>
      <c r="K47" s="25"/>
      <c r="L47" s="27"/>
    </row>
    <row r="48" customFormat="false" ht="13.8" hidden="false" customHeight="false" outlineLevel="0" collapsed="false">
      <c r="A48" s="28" t="s">
        <v>211</v>
      </c>
      <c r="B48" s="25" t="n">
        <v>25</v>
      </c>
      <c r="C48" s="29"/>
      <c r="D48" s="25"/>
      <c r="E48" s="29"/>
      <c r="F48" s="25"/>
      <c r="G48" s="25" t="n">
        <v>156.6</v>
      </c>
      <c r="H48" s="25" t="n">
        <f aca="false">G48/B48</f>
        <v>6.264</v>
      </c>
      <c r="I48" s="25" t="n">
        <v>75.6</v>
      </c>
      <c r="J48" s="25"/>
      <c r="K48" s="25" t="n">
        <f aca="false">I48/G48</f>
        <v>0.482758620689655</v>
      </c>
      <c r="L48" s="29" t="n">
        <v>6000</v>
      </c>
    </row>
    <row r="49" customFormat="false" ht="13.8" hidden="false" customHeight="false" outlineLevel="0" collapsed="false">
      <c r="A49" s="30" t="s">
        <v>212</v>
      </c>
      <c r="B49" s="25" t="n">
        <v>24</v>
      </c>
      <c r="C49" s="31"/>
      <c r="D49" s="25"/>
      <c r="E49" s="31"/>
      <c r="F49" s="25"/>
      <c r="G49" s="25" t="n">
        <v>147.9</v>
      </c>
      <c r="H49" s="25" t="n">
        <f aca="false">G49/B49</f>
        <v>6.1625</v>
      </c>
      <c r="I49" s="25" t="n">
        <v>71.4</v>
      </c>
      <c r="J49" s="25"/>
      <c r="K49" s="25" t="n">
        <f aca="false">I49/G49</f>
        <v>0.482758620689655</v>
      </c>
      <c r="L49" s="31" t="n">
        <v>6000</v>
      </c>
    </row>
    <row r="50" customFormat="false" ht="13.8" hidden="false" customHeight="false" outlineLevel="0" collapsed="false">
      <c r="A50" s="28" t="s">
        <v>213</v>
      </c>
      <c r="B50" s="25" t="n">
        <v>23</v>
      </c>
      <c r="C50" s="29"/>
      <c r="D50" s="25"/>
      <c r="E50" s="29"/>
      <c r="F50" s="25"/>
      <c r="G50" s="25" t="n">
        <v>139.2</v>
      </c>
      <c r="H50" s="25" t="n">
        <f aca="false">G50/B50</f>
        <v>6.05217391304348</v>
      </c>
      <c r="I50" s="25" t="n">
        <v>67.2</v>
      </c>
      <c r="J50" s="25"/>
      <c r="K50" s="25" t="n">
        <f aca="false">I50/G50</f>
        <v>0.482758620689655</v>
      </c>
      <c r="L50" s="29" t="n">
        <v>6000</v>
      </c>
    </row>
    <row r="51" customFormat="false" ht="13.8" hidden="false" customHeight="false" outlineLevel="0" collapsed="false">
      <c r="A51" s="24" t="s">
        <v>214</v>
      </c>
      <c r="B51" s="25" t="n">
        <v>3</v>
      </c>
      <c r="C51" s="25"/>
      <c r="D51" s="25"/>
      <c r="E51" s="25"/>
      <c r="F51" s="25"/>
      <c r="G51" s="25" t="n">
        <v>18</v>
      </c>
      <c r="H51" s="25" t="n">
        <f aca="false">G51/B51</f>
        <v>6</v>
      </c>
      <c r="I51" s="25" t="n">
        <v>7.2</v>
      </c>
      <c r="J51" s="25"/>
      <c r="K51" s="25" t="n">
        <f aca="false">I51/G51</f>
        <v>0.4</v>
      </c>
      <c r="L51" s="25"/>
    </row>
    <row r="52" customFormat="false" ht="13.8" hidden="false" customHeight="false" outlineLevel="0" collapsed="false">
      <c r="A52" s="24" t="s">
        <v>215</v>
      </c>
      <c r="B52" s="25" t="n">
        <v>35</v>
      </c>
      <c r="C52" s="25" t="n">
        <v>210</v>
      </c>
      <c r="D52" s="25" t="n">
        <f aca="false">C52/B52</f>
        <v>6</v>
      </c>
      <c r="E52" s="25" t="n">
        <v>156</v>
      </c>
      <c r="F52" s="25" t="n">
        <f aca="false">E52/C52</f>
        <v>0.742857142857143</v>
      </c>
      <c r="G52" s="25"/>
      <c r="H52" s="25"/>
      <c r="I52" s="25"/>
      <c r="J52" s="25"/>
      <c r="K52" s="25"/>
      <c r="L52" s="25" t="n">
        <v>3100</v>
      </c>
    </row>
    <row r="53" customFormat="false" ht="13.8" hidden="false" customHeight="false" outlineLevel="0" collapsed="false">
      <c r="A53" s="30" t="s">
        <v>216</v>
      </c>
      <c r="B53" s="25" t="n">
        <v>22</v>
      </c>
      <c r="C53" s="31"/>
      <c r="D53" s="25"/>
      <c r="E53" s="31"/>
      <c r="F53" s="25"/>
      <c r="G53" s="25" t="n">
        <v>130.5</v>
      </c>
      <c r="H53" s="25" t="n">
        <f aca="false">G53/B53</f>
        <v>5.93181818181818</v>
      </c>
      <c r="I53" s="25" t="n">
        <v>63</v>
      </c>
      <c r="J53" s="25"/>
      <c r="K53" s="25" t="n">
        <f aca="false">I53/G53</f>
        <v>0.482758620689655</v>
      </c>
      <c r="L53" s="31" t="n">
        <v>6000</v>
      </c>
    </row>
    <row r="54" customFormat="false" ht="13.8" hidden="false" customHeight="false" outlineLevel="0" collapsed="false">
      <c r="A54" s="28" t="s">
        <v>217</v>
      </c>
      <c r="B54" s="25" t="n">
        <v>21</v>
      </c>
      <c r="C54" s="29"/>
      <c r="D54" s="25"/>
      <c r="E54" s="29"/>
      <c r="F54" s="25"/>
      <c r="G54" s="25" t="n">
        <v>121.8</v>
      </c>
      <c r="H54" s="25" t="n">
        <f aca="false">G54/B54</f>
        <v>5.8</v>
      </c>
      <c r="I54" s="25" t="n">
        <v>58.8</v>
      </c>
      <c r="J54" s="25"/>
      <c r="K54" s="25" t="n">
        <f aca="false">I54/G54</f>
        <v>0.482758620689655</v>
      </c>
      <c r="L54" s="29" t="n">
        <v>6000</v>
      </c>
    </row>
    <row r="55" customFormat="false" ht="13.8" hidden="false" customHeight="false" outlineLevel="0" collapsed="false">
      <c r="A55" s="30" t="s">
        <v>218</v>
      </c>
      <c r="B55" s="25" t="n">
        <v>20</v>
      </c>
      <c r="C55" s="31"/>
      <c r="D55" s="25"/>
      <c r="E55" s="31"/>
      <c r="F55" s="25"/>
      <c r="G55" s="25" t="n">
        <v>113.1</v>
      </c>
      <c r="H55" s="25" t="n">
        <f aca="false">G55/B55</f>
        <v>5.655</v>
      </c>
      <c r="I55" s="25" t="n">
        <v>54.6</v>
      </c>
      <c r="J55" s="25"/>
      <c r="K55" s="25" t="n">
        <f aca="false">I55/G55</f>
        <v>0.482758620689655</v>
      </c>
      <c r="L55" s="31" t="n">
        <v>6000</v>
      </c>
    </row>
    <row r="56" customFormat="false" ht="13.8" hidden="false" customHeight="false" outlineLevel="0" collapsed="false">
      <c r="A56" s="28" t="s">
        <v>219</v>
      </c>
      <c r="B56" s="25" t="n">
        <v>19</v>
      </c>
      <c r="C56" s="29"/>
      <c r="D56" s="25"/>
      <c r="E56" s="29"/>
      <c r="F56" s="25"/>
      <c r="G56" s="25" t="n">
        <v>104.4</v>
      </c>
      <c r="H56" s="25" t="n">
        <f aca="false">G56/B56</f>
        <v>5.49473684210526</v>
      </c>
      <c r="I56" s="25" t="n">
        <v>50.4</v>
      </c>
      <c r="J56" s="25"/>
      <c r="K56" s="25" t="n">
        <f aca="false">I56/G56</f>
        <v>0.482758620689655</v>
      </c>
      <c r="L56" s="29" t="n">
        <v>6000</v>
      </c>
    </row>
    <row r="57" customFormat="false" ht="13.8" hidden="false" customHeight="false" outlineLevel="0" collapsed="false">
      <c r="A57" s="30" t="s">
        <v>220</v>
      </c>
      <c r="B57" s="25" t="n">
        <v>18</v>
      </c>
      <c r="C57" s="31"/>
      <c r="D57" s="25"/>
      <c r="E57" s="31"/>
      <c r="F57" s="25"/>
      <c r="G57" s="25" t="n">
        <v>95.7</v>
      </c>
      <c r="H57" s="25" t="n">
        <f aca="false">G57/B57</f>
        <v>5.31666666666667</v>
      </c>
      <c r="I57" s="25" t="n">
        <v>46.2</v>
      </c>
      <c r="J57" s="25"/>
      <c r="K57" s="25" t="n">
        <f aca="false">I57/G57</f>
        <v>0.482758620689655</v>
      </c>
      <c r="L57" s="31" t="n">
        <v>6000</v>
      </c>
    </row>
    <row r="58" customFormat="false" ht="13.8" hidden="false" customHeight="false" outlineLevel="0" collapsed="false">
      <c r="A58" s="28" t="s">
        <v>221</v>
      </c>
      <c r="B58" s="25" t="n">
        <v>17</v>
      </c>
      <c r="C58" s="29"/>
      <c r="D58" s="25"/>
      <c r="E58" s="29"/>
      <c r="F58" s="25"/>
      <c r="G58" s="25" t="n">
        <v>87</v>
      </c>
      <c r="H58" s="25" t="n">
        <f aca="false">G58/B58</f>
        <v>5.11764705882353</v>
      </c>
      <c r="I58" s="25" t="n">
        <v>42</v>
      </c>
      <c r="J58" s="25"/>
      <c r="K58" s="25" t="n">
        <f aca="false">I58/G58</f>
        <v>0.482758620689655</v>
      </c>
      <c r="L58" s="29" t="n">
        <v>6000</v>
      </c>
    </row>
    <row r="59" customFormat="false" ht="13.8" hidden="false" customHeight="false" outlineLevel="0" collapsed="false">
      <c r="A59" s="24" t="s">
        <v>222</v>
      </c>
      <c r="B59" s="25" t="n">
        <v>10</v>
      </c>
      <c r="C59" s="25" t="n">
        <v>51</v>
      </c>
      <c r="D59" s="25" t="n">
        <f aca="false">C59/B59</f>
        <v>5.1</v>
      </c>
      <c r="E59" s="25" t="n">
        <v>39</v>
      </c>
      <c r="F59" s="25" t="n">
        <f aca="false">E59/C59</f>
        <v>0.764705882352941</v>
      </c>
      <c r="G59" s="25"/>
      <c r="H59" s="25"/>
      <c r="I59" s="25"/>
      <c r="J59" s="25"/>
      <c r="K59" s="25"/>
      <c r="L59" s="25" t="n">
        <v>1200</v>
      </c>
    </row>
    <row r="60" customFormat="false" ht="13.8" hidden="false" customHeight="false" outlineLevel="0" collapsed="false">
      <c r="A60" s="30" t="s">
        <v>223</v>
      </c>
      <c r="B60" s="25" t="n">
        <v>16</v>
      </c>
      <c r="C60" s="31"/>
      <c r="D60" s="25"/>
      <c r="E60" s="31"/>
      <c r="F60" s="25"/>
      <c r="G60" s="25" t="n">
        <v>78.3</v>
      </c>
      <c r="H60" s="25" t="n">
        <f aca="false">G60/B60</f>
        <v>4.89375</v>
      </c>
      <c r="I60" s="25" t="n">
        <v>37.8</v>
      </c>
      <c r="J60" s="25"/>
      <c r="K60" s="25" t="n">
        <f aca="false">I60/G60</f>
        <v>0.482758620689655</v>
      </c>
      <c r="L60" s="31" t="n">
        <v>6000</v>
      </c>
    </row>
    <row r="61" customFormat="false" ht="13.8" hidden="false" customHeight="false" outlineLevel="0" collapsed="false">
      <c r="A61" s="26" t="s">
        <v>224</v>
      </c>
      <c r="B61" s="25" t="n">
        <v>63</v>
      </c>
      <c r="C61" s="27" t="n">
        <v>297.6</v>
      </c>
      <c r="D61" s="25" t="n">
        <f aca="false">C61/B61</f>
        <v>4.72380952380952</v>
      </c>
      <c r="E61" s="27" t="n">
        <v>235.2</v>
      </c>
      <c r="F61" s="25" t="n">
        <f aca="false">E61/C61</f>
        <v>0.790322580645161</v>
      </c>
      <c r="G61" s="25"/>
      <c r="H61" s="25"/>
      <c r="I61" s="25"/>
      <c r="J61" s="25"/>
      <c r="K61" s="25"/>
      <c r="L61" s="27" t="n">
        <v>30000</v>
      </c>
    </row>
    <row r="62" customFormat="false" ht="13.8" hidden="false" customHeight="false" outlineLevel="0" collapsed="false">
      <c r="A62" s="28" t="s">
        <v>225</v>
      </c>
      <c r="B62" s="25" t="n">
        <v>15</v>
      </c>
      <c r="C62" s="29"/>
      <c r="D62" s="25"/>
      <c r="E62" s="29"/>
      <c r="F62" s="25"/>
      <c r="G62" s="25" t="n">
        <v>69.6</v>
      </c>
      <c r="H62" s="25" t="n">
        <f aca="false">G62/B62</f>
        <v>4.64</v>
      </c>
      <c r="I62" s="25" t="n">
        <v>33.6</v>
      </c>
      <c r="J62" s="25"/>
      <c r="K62" s="25" t="n">
        <f aca="false">I62/G62</f>
        <v>0.482758620689655</v>
      </c>
      <c r="L62" s="29" t="n">
        <v>6000</v>
      </c>
    </row>
    <row r="63" customFormat="false" ht="13.8" hidden="false" customHeight="false" outlineLevel="0" collapsed="false">
      <c r="A63" s="24" t="s">
        <v>226</v>
      </c>
      <c r="B63" s="25" t="n">
        <v>17</v>
      </c>
      <c r="C63" s="25" t="n">
        <v>76.8</v>
      </c>
      <c r="D63" s="25" t="n">
        <f aca="false">C63/B63</f>
        <v>4.51764705882353</v>
      </c>
      <c r="E63" s="25" t="n">
        <v>67.2</v>
      </c>
      <c r="F63" s="25" t="n">
        <f aca="false">E63/C63</f>
        <v>0.875</v>
      </c>
      <c r="G63" s="25"/>
      <c r="H63" s="25"/>
      <c r="I63" s="25"/>
      <c r="J63" s="25"/>
      <c r="K63" s="25"/>
      <c r="L63" s="25" t="n">
        <v>7500</v>
      </c>
    </row>
    <row r="64" customFormat="false" ht="13.8" hidden="false" customHeight="false" outlineLevel="0" collapsed="false">
      <c r="A64" s="30" t="s">
        <v>227</v>
      </c>
      <c r="B64" s="25" t="n">
        <v>14</v>
      </c>
      <c r="C64" s="31"/>
      <c r="D64" s="25"/>
      <c r="E64" s="31"/>
      <c r="F64" s="25"/>
      <c r="G64" s="25" t="n">
        <v>60.9</v>
      </c>
      <c r="H64" s="25" t="n">
        <f aca="false">G64/B64</f>
        <v>4.35</v>
      </c>
      <c r="I64" s="25" t="n">
        <v>29.4</v>
      </c>
      <c r="J64" s="25"/>
      <c r="K64" s="25" t="n">
        <f aca="false">I64/G64</f>
        <v>0.482758620689655</v>
      </c>
      <c r="L64" s="31" t="n">
        <v>6000</v>
      </c>
    </row>
    <row r="65" customFormat="false" ht="13.8" hidden="false" customHeight="false" outlineLevel="0" collapsed="false">
      <c r="A65" s="28" t="s">
        <v>228</v>
      </c>
      <c r="B65" s="25" t="n">
        <v>13</v>
      </c>
      <c r="C65" s="29"/>
      <c r="D65" s="25"/>
      <c r="E65" s="29"/>
      <c r="F65" s="25"/>
      <c r="G65" s="25" t="n">
        <v>52.2</v>
      </c>
      <c r="H65" s="25" t="n">
        <f aca="false">G65/B65</f>
        <v>4.01538461538462</v>
      </c>
      <c r="I65" s="25" t="n">
        <v>25.2</v>
      </c>
      <c r="J65" s="25"/>
      <c r="K65" s="25" t="n">
        <f aca="false">I65/G65</f>
        <v>0.482758620689655</v>
      </c>
      <c r="L65" s="29" t="n">
        <v>6000</v>
      </c>
    </row>
    <row r="66" customFormat="false" ht="13.8" hidden="false" customHeight="false" outlineLevel="0" collapsed="false">
      <c r="A66" s="30" t="s">
        <v>229</v>
      </c>
      <c r="B66" s="25" t="n">
        <v>12</v>
      </c>
      <c r="C66" s="31"/>
      <c r="D66" s="25"/>
      <c r="E66" s="31"/>
      <c r="F66" s="25"/>
      <c r="G66" s="25" t="n">
        <v>43.5</v>
      </c>
      <c r="H66" s="25" t="n">
        <f aca="false">G66/B66</f>
        <v>3.625</v>
      </c>
      <c r="I66" s="25" t="n">
        <v>21</v>
      </c>
      <c r="J66" s="25"/>
      <c r="K66" s="25" t="n">
        <f aca="false">I66/G66</f>
        <v>0.482758620689655</v>
      </c>
      <c r="L66" s="31" t="n">
        <v>6000</v>
      </c>
    </row>
    <row r="67" customFormat="false" ht="13.8" hidden="false" customHeight="false" outlineLevel="0" collapsed="false">
      <c r="A67" s="28" t="s">
        <v>230</v>
      </c>
      <c r="B67" s="25" t="n">
        <v>11</v>
      </c>
      <c r="C67" s="29"/>
      <c r="D67" s="25"/>
      <c r="E67" s="29"/>
      <c r="F67" s="25"/>
      <c r="G67" s="25" t="n">
        <v>34.8</v>
      </c>
      <c r="H67" s="25" t="n">
        <f aca="false">G67/B67</f>
        <v>3.16363636363636</v>
      </c>
      <c r="I67" s="25" t="n">
        <v>16.8</v>
      </c>
      <c r="J67" s="25"/>
      <c r="K67" s="25" t="n">
        <f aca="false">I67/G67</f>
        <v>0.482758620689655</v>
      </c>
      <c r="L67" s="29" t="n">
        <v>6000</v>
      </c>
    </row>
    <row r="68" customFormat="false" ht="13.8" hidden="false" customHeight="false" outlineLevel="0" collapsed="false">
      <c r="A68" s="26" t="s">
        <v>231</v>
      </c>
      <c r="B68" s="25" t="n">
        <v>2</v>
      </c>
      <c r="C68" s="27"/>
      <c r="D68" s="25"/>
      <c r="E68" s="27"/>
      <c r="F68" s="25"/>
      <c r="G68" s="25" t="n">
        <v>6</v>
      </c>
      <c r="H68" s="25" t="n">
        <f aca="false">G68/B68</f>
        <v>3</v>
      </c>
      <c r="I68" s="25"/>
      <c r="J68" s="25"/>
      <c r="K68" s="25"/>
      <c r="L68" s="27"/>
    </row>
    <row r="69" customFormat="false" ht="13.8" hidden="false" customHeight="false" outlineLevel="0" collapsed="false">
      <c r="A69" s="30" t="s">
        <v>232</v>
      </c>
      <c r="B69" s="25" t="n">
        <v>10</v>
      </c>
      <c r="C69" s="31"/>
      <c r="D69" s="25"/>
      <c r="E69" s="31"/>
      <c r="F69" s="25"/>
      <c r="G69" s="25" t="n">
        <v>26.1</v>
      </c>
      <c r="H69" s="25" t="n">
        <f aca="false">G69/B69</f>
        <v>2.61</v>
      </c>
      <c r="I69" s="25" t="n">
        <v>12.6</v>
      </c>
      <c r="J69" s="25"/>
      <c r="K69" s="25" t="n">
        <f aca="false">I69/G69</f>
        <v>0.482758620689655</v>
      </c>
      <c r="L69" s="31" t="n">
        <v>6000</v>
      </c>
    </row>
    <row r="70" customFormat="false" ht="13.8" hidden="false" customHeight="false" outlineLevel="0" collapsed="false">
      <c r="A70" s="28" t="s">
        <v>233</v>
      </c>
      <c r="B70" s="25" t="n">
        <v>9</v>
      </c>
      <c r="C70" s="29"/>
      <c r="D70" s="25"/>
      <c r="E70" s="29"/>
      <c r="F70" s="25"/>
      <c r="G70" s="25" t="n">
        <v>17.4</v>
      </c>
      <c r="H70" s="25" t="n">
        <f aca="false">G70/B70</f>
        <v>1.93333333333333</v>
      </c>
      <c r="I70" s="25" t="n">
        <v>8.4</v>
      </c>
      <c r="J70" s="25"/>
      <c r="K70" s="25" t="n">
        <f aca="false">I70/G70</f>
        <v>0.482758620689655</v>
      </c>
      <c r="L70" s="29" t="n">
        <v>6000</v>
      </c>
    </row>
    <row r="71" customFormat="false" ht="13.8" hidden="false" customHeight="false" outlineLevel="0" collapsed="false">
      <c r="A71" s="30" t="s">
        <v>234</v>
      </c>
      <c r="B71" s="25" t="n">
        <v>8</v>
      </c>
      <c r="C71" s="31"/>
      <c r="D71" s="25"/>
      <c r="E71" s="31"/>
      <c r="F71" s="25"/>
      <c r="G71" s="25" t="n">
        <v>8.7</v>
      </c>
      <c r="H71" s="25" t="n">
        <f aca="false">G71/B71</f>
        <v>1.0875</v>
      </c>
      <c r="I71" s="25" t="n">
        <v>4.2</v>
      </c>
      <c r="J71" s="25"/>
      <c r="K71" s="25" t="n">
        <f aca="false">I71/G71</f>
        <v>0.482758620689655</v>
      </c>
      <c r="L71" s="31" t="n">
        <v>6000</v>
      </c>
    </row>
  </sheetData>
  <autoFilter ref="A1:L71"/>
  <conditionalFormatting sqref="A1:L1">
    <cfRule type="expression" priority="2" aboveAverage="0" equalAverage="0" bottom="0" percent="0" rank="0" text="" dxfId="0">
      <formula>AND(OR(COUNTIF('master sheet'!$A$2:$A$111,A1)&gt;0,COUNTIF('master sheet'!$C$2:$C$111,A1)&gt;0),IF(COUNTIF('master sheet'!$A$2:$A$111,A1)&gt;0,INDEX('master sheet'!$B$2:$B$111,MATCH(A1,'master sheet'!$A$2:$A$111,0)),INDEX('master sheet'!$B$2:$B$111,MATCH(A1,'master sheet'!$C$2:$C$111,0)))&lt;&gt;"")</formula>
    </cfRule>
  </conditionalFormatting>
  <conditionalFormatting sqref="A1:L1">
    <cfRule type="expression" priority="3" aboveAverage="0" equalAverage="0" bottom="0" percent="0" rank="0" text="" dxfId="1">
      <formula>AND(COUNTIF('master sheet'!$A$2:$A$111,A1)=0,COUNTIF('master sheet'!$C$2:$C$111,A1)=0)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3.8" zeroHeight="false" outlineLevelRow="0" outlineLevelCol="0"/>
  <cols>
    <col collapsed="false" customWidth="true" hidden="false" outlineLevel="0" max="1" min="1" style="1" width="24.1"/>
    <col collapsed="false" customWidth="true" hidden="false" outlineLevel="0" max="3" min="2" style="1" width="6.74"/>
    <col collapsed="false" customWidth="true" hidden="false" outlineLevel="0" max="38" min="4" style="0" width="6.74"/>
  </cols>
  <sheetData>
    <row r="1" customFormat="false" ht="90.7" hidden="false" customHeight="true" outlineLevel="0" collapsed="false">
      <c r="A1" s="22" t="s">
        <v>0</v>
      </c>
      <c r="B1" s="3" t="s">
        <v>1</v>
      </c>
      <c r="C1" s="3" t="s">
        <v>64</v>
      </c>
    </row>
    <row r="2" customFormat="false" ht="13.8" hidden="false" customHeight="false" outlineLevel="0" collapsed="false">
      <c r="A2" s="24" t="s">
        <v>235</v>
      </c>
      <c r="B2" s="32" t="n">
        <v>4</v>
      </c>
      <c r="C2" s="25" t="n">
        <v>3600</v>
      </c>
    </row>
    <row r="3" customFormat="false" ht="13.8" hidden="false" customHeight="false" outlineLevel="0" collapsed="false">
      <c r="A3" s="26" t="s">
        <v>236</v>
      </c>
      <c r="B3" s="32" t="n">
        <v>18</v>
      </c>
      <c r="C3" s="27" t="n">
        <v>18000</v>
      </c>
    </row>
    <row r="4" customFormat="false" ht="13.8" hidden="false" customHeight="false" outlineLevel="0" collapsed="false">
      <c r="A4" s="26" t="s">
        <v>237</v>
      </c>
      <c r="B4" s="32" t="n">
        <v>50</v>
      </c>
      <c r="C4" s="27" t="n">
        <v>27350</v>
      </c>
    </row>
    <row r="5" customFormat="false" ht="13.8" hidden="false" customHeight="false" outlineLevel="0" collapsed="false">
      <c r="A5" s="24" t="s">
        <v>238</v>
      </c>
      <c r="B5" s="32" t="n">
        <v>70</v>
      </c>
      <c r="C5" s="25" t="n">
        <v>42222</v>
      </c>
    </row>
    <row r="6" customFormat="false" ht="13.8" hidden="false" customHeight="false" outlineLevel="0" collapsed="false">
      <c r="A6" s="26" t="s">
        <v>239</v>
      </c>
      <c r="B6" s="32" t="n">
        <v>2</v>
      </c>
      <c r="C6" s="27" t="n">
        <v>750</v>
      </c>
    </row>
    <row r="7" customFormat="false" ht="13.8" hidden="false" customHeight="false" outlineLevel="0" collapsed="false">
      <c r="A7" s="24" t="s">
        <v>240</v>
      </c>
      <c r="B7" s="32" t="n">
        <v>10</v>
      </c>
      <c r="C7" s="25" t="n">
        <v>4000</v>
      </c>
    </row>
    <row r="8" customFormat="false" ht="13.8" hidden="false" customHeight="false" outlineLevel="0" collapsed="false">
      <c r="A8" s="24" t="s">
        <v>241</v>
      </c>
      <c r="B8" s="32" t="n">
        <v>40</v>
      </c>
      <c r="C8" s="25" t="n">
        <v>19200</v>
      </c>
    </row>
    <row r="9" customFormat="false" ht="13.8" hidden="false" customHeight="false" outlineLevel="0" collapsed="false">
      <c r="A9" s="26" t="s">
        <v>242</v>
      </c>
      <c r="B9" s="32" t="n">
        <v>60</v>
      </c>
      <c r="C9" s="27" t="n">
        <v>31200</v>
      </c>
    </row>
    <row r="10" customFormat="false" ht="13.8" hidden="false" customHeight="false" outlineLevel="0" collapsed="false">
      <c r="A10" s="24" t="s">
        <v>243</v>
      </c>
      <c r="B10" s="32" t="n">
        <v>80</v>
      </c>
      <c r="C10" s="25" t="n">
        <v>46000</v>
      </c>
    </row>
    <row r="11" customFormat="false" ht="13.8" hidden="false" customHeight="false" outlineLevel="0" collapsed="false">
      <c r="A11" s="24" t="s">
        <v>244</v>
      </c>
      <c r="B11" s="32" t="n">
        <v>3</v>
      </c>
      <c r="C11" s="25" t="n">
        <v>2400</v>
      </c>
    </row>
    <row r="12" customFormat="false" ht="13.8" hidden="false" customHeight="false" outlineLevel="0" collapsed="false">
      <c r="A12" s="26" t="s">
        <v>245</v>
      </c>
      <c r="B12" s="32" t="n">
        <v>12</v>
      </c>
      <c r="C12" s="27" t="n">
        <v>13600</v>
      </c>
    </row>
  </sheetData>
  <conditionalFormatting sqref="A1:C1">
    <cfRule type="expression" priority="2" aboveAverage="0" equalAverage="0" bottom="0" percent="0" rank="0" text="" dxfId="0">
      <formula>AND(OR(COUNTIF('master sheet'!$A$2:$A$111,A1)&gt;0,COUNTIF('master sheet'!$C$2:$C$111,A1)&gt;0),IF(COUNTIF('master sheet'!$A$2:$A$111,A1)&gt;0,INDEX('master sheet'!$B$2:$B$111,MATCH(A1,'master sheet'!$A$2:$A$111,0)),INDEX('master sheet'!$B$2:$B$111,MATCH(A1,'master sheet'!$C$2:$C$111,0)))&lt;&gt;"")</formula>
    </cfRule>
  </conditionalFormatting>
  <conditionalFormatting sqref="A1:C1">
    <cfRule type="expression" priority="3" aboveAverage="0" equalAverage="0" bottom="0" percent="0" rank="0" text="" dxfId="1">
      <formula>AND(COUNTIF('master sheet'!$A$2:$A$111,A1)=0,COUNTIF('master sheet'!$C$2:$C$111,A1)=0)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3.8" zeroHeight="false" outlineLevelRow="0" outlineLevelCol="0"/>
  <cols>
    <col collapsed="false" customWidth="true" hidden="false" outlineLevel="0" max="1" min="1" style="1" width="11.32"/>
    <col collapsed="false" customWidth="true" hidden="false" outlineLevel="0" max="12" min="2" style="1" width="6.74"/>
    <col collapsed="false" customWidth="true" hidden="false" outlineLevel="0" max="32" min="13" style="0" width="6.74"/>
  </cols>
  <sheetData>
    <row r="1" customFormat="false" ht="90.7" hidden="false" customHeight="true" outlineLevel="0" collapsed="false">
      <c r="A1" s="3" t="s">
        <v>0</v>
      </c>
      <c r="B1" s="3" t="s">
        <v>1</v>
      </c>
      <c r="C1" s="3" t="s">
        <v>60</v>
      </c>
      <c r="D1" s="3" t="s">
        <v>50</v>
      </c>
      <c r="E1" s="3" t="s">
        <v>61</v>
      </c>
      <c r="F1" s="3" t="s">
        <v>6</v>
      </c>
      <c r="G1" s="3" t="s">
        <v>81</v>
      </c>
    </row>
    <row r="2" customFormat="false" ht="23.85" hidden="false" customHeight="false" outlineLevel="0" collapsed="false">
      <c r="A2" s="11" t="s">
        <v>246</v>
      </c>
      <c r="B2" s="9" t="n">
        <v>4</v>
      </c>
      <c r="C2" s="9"/>
      <c r="D2" s="9" t="n">
        <v>480</v>
      </c>
      <c r="E2" s="9" t="n">
        <v>24</v>
      </c>
      <c r="F2" s="9"/>
      <c r="G2" s="9"/>
    </row>
    <row r="3" customFormat="false" ht="13.8" hidden="false" customHeight="false" outlineLevel="0" collapsed="false">
      <c r="A3" s="11" t="s">
        <v>247</v>
      </c>
      <c r="B3" s="9" t="n">
        <v>5</v>
      </c>
      <c r="C3" s="9" t="n">
        <v>300</v>
      </c>
      <c r="D3" s="9"/>
      <c r="E3" s="9"/>
      <c r="F3" s="9"/>
      <c r="G3" s="9"/>
    </row>
    <row r="4" customFormat="false" ht="23.85" hidden="false" customHeight="false" outlineLevel="0" collapsed="false">
      <c r="A4" s="13" t="s">
        <v>248</v>
      </c>
      <c r="B4" s="10" t="n">
        <v>5</v>
      </c>
      <c r="C4" s="9"/>
      <c r="D4" s="9" t="n">
        <v>1260</v>
      </c>
      <c r="E4" s="9" t="n">
        <v>84</v>
      </c>
      <c r="F4" s="9"/>
      <c r="G4" s="10"/>
    </row>
    <row r="5" customFormat="false" ht="23.85" hidden="false" customHeight="false" outlineLevel="0" collapsed="false">
      <c r="A5" s="13" t="s">
        <v>249</v>
      </c>
      <c r="B5" s="10" t="n">
        <v>7</v>
      </c>
      <c r="C5" s="9" t="n">
        <v>810</v>
      </c>
      <c r="D5" s="9"/>
      <c r="E5" s="9"/>
      <c r="F5" s="9"/>
      <c r="G5" s="10"/>
    </row>
    <row r="6" customFormat="false" ht="23.85" hidden="false" customHeight="false" outlineLevel="0" collapsed="false">
      <c r="A6" s="11" t="s">
        <v>250</v>
      </c>
      <c r="B6" s="9" t="n">
        <v>8</v>
      </c>
      <c r="C6" s="9"/>
      <c r="D6" s="9" t="n">
        <v>1920</v>
      </c>
      <c r="E6" s="9" t="n">
        <v>186</v>
      </c>
      <c r="F6" s="9"/>
      <c r="G6" s="9"/>
    </row>
    <row r="7" customFormat="false" ht="23.85" hidden="false" customHeight="false" outlineLevel="0" collapsed="false">
      <c r="A7" s="11" t="s">
        <v>251</v>
      </c>
      <c r="B7" s="9" t="n">
        <v>8</v>
      </c>
      <c r="C7" s="9" t="n">
        <v>270</v>
      </c>
      <c r="D7" s="9" t="n">
        <v>630</v>
      </c>
      <c r="E7" s="9" t="n">
        <v>66</v>
      </c>
      <c r="F7" s="9"/>
      <c r="G7" s="9"/>
    </row>
    <row r="8" customFormat="false" ht="23.85" hidden="false" customHeight="false" outlineLevel="0" collapsed="false">
      <c r="A8" s="13" t="s">
        <v>252</v>
      </c>
      <c r="B8" s="10" t="n">
        <v>12</v>
      </c>
      <c r="C8" s="9" t="n">
        <v>1140</v>
      </c>
      <c r="D8" s="9"/>
      <c r="E8" s="9"/>
      <c r="F8" s="9"/>
      <c r="G8" s="10"/>
    </row>
    <row r="9" customFormat="false" ht="23.85" hidden="false" customHeight="false" outlineLevel="0" collapsed="false">
      <c r="A9" s="13" t="s">
        <v>253</v>
      </c>
      <c r="B9" s="10" t="n">
        <v>14</v>
      </c>
      <c r="C9" s="9"/>
      <c r="D9" s="9" t="n">
        <v>3900</v>
      </c>
      <c r="E9" s="9" t="n">
        <v>354</v>
      </c>
      <c r="F9" s="9"/>
      <c r="G9" s="10"/>
    </row>
    <row r="10" customFormat="false" ht="23.85" hidden="false" customHeight="false" outlineLevel="0" collapsed="false">
      <c r="A10" s="11" t="s">
        <v>254</v>
      </c>
      <c r="B10" s="9" t="n">
        <v>20</v>
      </c>
      <c r="C10" s="9" t="n">
        <v>1740</v>
      </c>
      <c r="D10" s="9"/>
      <c r="E10" s="9"/>
      <c r="F10" s="9"/>
      <c r="G10" s="9"/>
    </row>
    <row r="11" customFormat="false" ht="23.85" hidden="false" customHeight="false" outlineLevel="0" collapsed="false">
      <c r="A11" s="11" t="s">
        <v>255</v>
      </c>
      <c r="B11" s="9" t="n">
        <v>24</v>
      </c>
      <c r="C11" s="9" t="n">
        <v>3240</v>
      </c>
      <c r="D11" s="9"/>
      <c r="E11" s="9"/>
      <c r="F11" s="9"/>
      <c r="G11" s="9"/>
    </row>
    <row r="12" customFormat="false" ht="23.85" hidden="false" customHeight="false" outlineLevel="0" collapsed="false">
      <c r="A12" s="13" t="s">
        <v>256</v>
      </c>
      <c r="B12" s="10" t="n">
        <v>34</v>
      </c>
      <c r="C12" s="9"/>
      <c r="D12" s="9" t="n">
        <v>6960</v>
      </c>
      <c r="E12" s="9" t="n">
        <v>312</v>
      </c>
      <c r="F12" s="9" t="n">
        <v>144</v>
      </c>
      <c r="G12" s="10" t="n">
        <v>680</v>
      </c>
    </row>
    <row r="13" customFormat="false" ht="23.85" hidden="false" customHeight="false" outlineLevel="0" collapsed="false">
      <c r="A13" s="13" t="s">
        <v>257</v>
      </c>
      <c r="B13" s="10" t="n">
        <v>40</v>
      </c>
      <c r="C13" s="9" t="n">
        <v>4140</v>
      </c>
      <c r="D13" s="9"/>
      <c r="E13" s="9"/>
      <c r="F13" s="9"/>
      <c r="G13" s="10"/>
    </row>
  </sheetData>
  <autoFilter ref="A1:G13"/>
  <conditionalFormatting sqref="A1:G1">
    <cfRule type="expression" priority="2" aboveAverage="0" equalAverage="0" bottom="0" percent="0" rank="0" text="" dxfId="0">
      <formula>AND(OR(COUNTIF('master sheet'!$A$2:$A$111,A1)&gt;0,COUNTIF('master sheet'!$C$2:$C$111,A1)&gt;0),IF(COUNTIF('master sheet'!$A$2:$A$111,A1)&gt;0,INDEX('master sheet'!$B$2:$B$111,MATCH(A1,'master sheet'!$A$2:$A$111,0)),INDEX('master sheet'!$B$2:$B$111,MATCH(A1,'master sheet'!$C$2:$C$111,0)))&lt;&gt;"")</formula>
    </cfRule>
  </conditionalFormatting>
  <conditionalFormatting sqref="A1:G1">
    <cfRule type="expression" priority="3" aboveAverage="0" equalAverage="0" bottom="0" percent="0" rank="0" text="" dxfId="1">
      <formula>AND(COUNTIF('master sheet'!$A$2:$A$111,A1)=0,COUNTIF('master sheet'!$C$2:$C$111,A1)=0)</formula>
    </cfRule>
  </conditionalFormatting>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&amp;C&amp;"Arial,Regular"&amp;10&amp;Kffffff&amp;A</oddHeader>
    <oddFooter>&amp;C&amp;"Arial,Regular"&amp;10&amp;KffffffPage &amp;P</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H25" activePane="bottomRight" state="frozen"/>
      <selection pane="topLeft" activeCell="A1" activeCellId="0" sqref="A1"/>
      <selection pane="topRight" activeCell="H1" activeCellId="0" sqref="H1"/>
      <selection pane="bottomLeft" activeCell="A25" activeCellId="0" sqref="A25"/>
      <selection pane="bottomRight" activeCell="A1" activeCellId="0" sqref="A1"/>
    </sheetView>
  </sheetViews>
  <sheetFormatPr defaultColWidth="8.59765625" defaultRowHeight="13.8" zeroHeight="false" outlineLevelRow="0" outlineLevelCol="0"/>
  <cols>
    <col collapsed="false" customWidth="true" hidden="false" outlineLevel="0" max="1" min="1" style="1" width="21.66"/>
    <col collapsed="false" customWidth="true" hidden="false" outlineLevel="0" max="25" min="2" style="1" width="6.74"/>
    <col collapsed="false" customWidth="true" hidden="false" outlineLevel="0" max="26" min="26" style="1" width="50.07"/>
    <col collapsed="false" customWidth="true" hidden="false" outlineLevel="0" max="81" min="27" style="0" width="6.74"/>
  </cols>
  <sheetData>
    <row r="1" customFormat="false" ht="90.7" hidden="false" customHeight="true" outlineLevel="0" collapsed="false">
      <c r="A1" s="33" t="s">
        <v>258</v>
      </c>
      <c r="B1" s="33" t="s">
        <v>1</v>
      </c>
      <c r="C1" s="33" t="s">
        <v>69</v>
      </c>
      <c r="D1" s="33" t="s">
        <v>6</v>
      </c>
      <c r="E1" s="33" t="s">
        <v>136</v>
      </c>
      <c r="F1" s="33" t="s">
        <v>139</v>
      </c>
      <c r="G1" s="33" t="s">
        <v>140</v>
      </c>
      <c r="H1" s="33" t="s">
        <v>137</v>
      </c>
      <c r="I1" s="33" t="s">
        <v>141</v>
      </c>
      <c r="J1" s="33" t="s">
        <v>138</v>
      </c>
      <c r="K1" s="33" t="s">
        <v>143</v>
      </c>
      <c r="L1" s="33" t="s">
        <v>146</v>
      </c>
      <c r="M1" s="33" t="s">
        <v>147</v>
      </c>
      <c r="N1" s="33" t="s">
        <v>144</v>
      </c>
      <c r="O1" s="33" t="s">
        <v>148</v>
      </c>
      <c r="P1" s="33" t="s">
        <v>145</v>
      </c>
      <c r="Q1" s="33" t="s">
        <v>106</v>
      </c>
      <c r="R1" s="33" t="s">
        <v>151</v>
      </c>
      <c r="S1" s="33" t="s">
        <v>109</v>
      </c>
      <c r="T1" s="33" t="s">
        <v>110</v>
      </c>
      <c r="U1" s="33" t="s">
        <v>107</v>
      </c>
      <c r="V1" s="33" t="s">
        <v>111</v>
      </c>
      <c r="W1" s="33" t="s">
        <v>108</v>
      </c>
      <c r="X1" s="33" t="s">
        <v>70</v>
      </c>
      <c r="Y1" s="33" t="s">
        <v>71</v>
      </c>
      <c r="Z1" s="33" t="s">
        <v>99</v>
      </c>
    </row>
    <row r="2" customFormat="false" ht="15.75" hidden="false" customHeight="true" outlineLevel="0" collapsed="false">
      <c r="A2" s="34" t="s">
        <v>259</v>
      </c>
      <c r="B2" s="35" t="n">
        <v>118</v>
      </c>
      <c r="C2" s="36" t="n">
        <v>59</v>
      </c>
      <c r="D2" s="36"/>
      <c r="E2" s="36" t="n">
        <v>0</v>
      </c>
      <c r="F2" s="36" t="n">
        <f aca="false">E2/B2</f>
        <v>0</v>
      </c>
      <c r="G2" s="36" t="n">
        <v>0</v>
      </c>
      <c r="H2" s="36" t="str">
        <f aca="false">IF(OR(E2=0,E2=""),"",E2/G2)</f>
        <v/>
      </c>
      <c r="I2" s="36" t="n">
        <v>0</v>
      </c>
      <c r="J2" s="36" t="str">
        <f aca="false">IF(OR(E2=0,E2=""),"",E2/I2)</f>
        <v/>
      </c>
      <c r="K2" s="36" t="n">
        <v>0</v>
      </c>
      <c r="L2" s="36" t="str">
        <f aca="false">IF(OR(K2=0,K2=""),"",K2/B2)</f>
        <v/>
      </c>
      <c r="M2" s="36" t="n">
        <v>0</v>
      </c>
      <c r="N2" s="36" t="str">
        <f aca="false">IF(OR(K2=0,K2=""),"",K2/M2)</f>
        <v/>
      </c>
      <c r="O2" s="36" t="n">
        <v>0</v>
      </c>
      <c r="P2" s="36" t="str">
        <f aca="false">IF(OR(K2=0,K2=""),"",K2/O2)</f>
        <v/>
      </c>
      <c r="Q2" s="37" t="n">
        <v>80676</v>
      </c>
      <c r="R2" s="37" t="n">
        <v>59</v>
      </c>
      <c r="S2" s="35" t="n">
        <f aca="false">IF(OR(Q2=0,Q2=""),"",Q2/B2)</f>
        <v>683.694915254237</v>
      </c>
      <c r="T2" s="37" t="n">
        <v>948</v>
      </c>
      <c r="U2" s="35" t="n">
        <f aca="false">IF(OR(Q2=0,Q2=""),"",Q2/T2)</f>
        <v>85.1012658227848</v>
      </c>
      <c r="V2" s="37" t="n">
        <v>2556</v>
      </c>
      <c r="W2" s="35" t="n">
        <f aca="false">IF(OR(Q2=0,Q2=""),"",Q2/V2)</f>
        <v>31.5633802816901</v>
      </c>
      <c r="X2" s="35" t="n">
        <f aca="false">MAX(G2,T2)+M2</f>
        <v>948</v>
      </c>
      <c r="Y2" s="35" t="n">
        <f aca="false">MAX(I2,V2)+O2</f>
        <v>2556</v>
      </c>
      <c r="Z2" s="38"/>
    </row>
    <row r="3" customFormat="false" ht="15.75" hidden="false" customHeight="true" outlineLevel="0" collapsed="false">
      <c r="A3" s="39" t="s">
        <v>260</v>
      </c>
      <c r="B3" s="35" t="n">
        <v>68</v>
      </c>
      <c r="C3" s="36" t="n">
        <v>34</v>
      </c>
      <c r="D3" s="36"/>
      <c r="E3" s="36" t="n">
        <v>0</v>
      </c>
      <c r="F3" s="36" t="n">
        <f aca="false">E3/B3</f>
        <v>0</v>
      </c>
      <c r="G3" s="36" t="n">
        <v>0</v>
      </c>
      <c r="H3" s="36" t="str">
        <f aca="false">IF(OR(E3=0,E3=""),"",E3/G3)</f>
        <v/>
      </c>
      <c r="I3" s="36" t="n">
        <v>0</v>
      </c>
      <c r="J3" s="36" t="str">
        <f aca="false">IF(OR(E3=0,E3=""),"",E3/I3)</f>
        <v/>
      </c>
      <c r="K3" s="36" t="n">
        <v>0</v>
      </c>
      <c r="L3" s="36" t="str">
        <f aca="false">IF(OR(K3=0,K3=""),"",K3/B3)</f>
        <v/>
      </c>
      <c r="M3" s="36" t="n">
        <v>0</v>
      </c>
      <c r="N3" s="36" t="str">
        <f aca="false">IF(OR(K3=0,K3=""),"",K3/M3)</f>
        <v/>
      </c>
      <c r="O3" s="36" t="n">
        <v>0</v>
      </c>
      <c r="P3" s="36" t="str">
        <f aca="false">IF(OR(K3=0,K3=""),"",K3/O3)</f>
        <v/>
      </c>
      <c r="Q3" s="35" t="n">
        <v>43200</v>
      </c>
      <c r="R3" s="35" t="n">
        <v>34</v>
      </c>
      <c r="S3" s="35" t="n">
        <f aca="false">IF(OR(Q3=0,Q3=""),"",Q3/B3)</f>
        <v>635.294117647059</v>
      </c>
      <c r="T3" s="35" t="n">
        <v>534</v>
      </c>
      <c r="U3" s="35" t="n">
        <f aca="false">IF(OR(Q3=0,Q3=""),"",Q3/T3)</f>
        <v>80.8988764044944</v>
      </c>
      <c r="V3" s="35" t="n">
        <v>1362</v>
      </c>
      <c r="W3" s="35" t="n">
        <f aca="false">IF(OR(Q3=0,Q3=""),"",Q3/V3)</f>
        <v>31.7180616740088</v>
      </c>
      <c r="X3" s="35" t="n">
        <f aca="false">MAX(G3,T3)+M3</f>
        <v>534</v>
      </c>
      <c r="Y3" s="35" t="n">
        <f aca="false">MAX(I3,V3)+O3</f>
        <v>1362</v>
      </c>
      <c r="Z3" s="40"/>
    </row>
    <row r="4" customFormat="false" ht="15.75" hidden="false" customHeight="true" outlineLevel="0" collapsed="false">
      <c r="A4" s="34" t="s">
        <v>261</v>
      </c>
      <c r="B4" s="35" t="n">
        <v>76</v>
      </c>
      <c r="C4" s="36" t="n">
        <v>76</v>
      </c>
      <c r="D4" s="36"/>
      <c r="E4" s="37" t="n">
        <v>383940</v>
      </c>
      <c r="F4" s="36" t="n">
        <f aca="false">E4/B4</f>
        <v>5051.84210526316</v>
      </c>
      <c r="G4" s="37" t="n">
        <v>570</v>
      </c>
      <c r="H4" s="36" t="n">
        <f aca="false">IF(OR(E4=0,E4=""),"",E4/G4)</f>
        <v>673.578947368421</v>
      </c>
      <c r="I4" s="37" t="n">
        <v>576</v>
      </c>
      <c r="J4" s="36" t="n">
        <f aca="false">IF(OR(E4=0,E4=""),"",E4/I4)</f>
        <v>666.5625</v>
      </c>
      <c r="K4" s="36" t="n">
        <v>0</v>
      </c>
      <c r="L4" s="36" t="str">
        <f aca="false">IF(OR(K4=0,K4=""),"",K4/B4)</f>
        <v/>
      </c>
      <c r="M4" s="36" t="n">
        <v>0</v>
      </c>
      <c r="N4" s="36" t="str">
        <f aca="false">IF(OR(K4=0,K4=""),"",K4/M4)</f>
        <v/>
      </c>
      <c r="O4" s="36" t="n">
        <v>0</v>
      </c>
      <c r="P4" s="36" t="str">
        <f aca="false">IF(OR(K4=0,K4=""),"",K4/O4)</f>
        <v/>
      </c>
      <c r="Q4" s="37" t="n">
        <v>28782</v>
      </c>
      <c r="R4" s="37"/>
      <c r="S4" s="35" t="n">
        <f aca="false">IF(OR(Q4=0,Q4=""),"",Q4/B4)</f>
        <v>378.71052631579</v>
      </c>
      <c r="T4" s="37" t="n">
        <v>426</v>
      </c>
      <c r="U4" s="35" t="n">
        <f aca="false">IF(OR(Q4=0,Q4=""),"",Q4/T4)</f>
        <v>67.5633802816901</v>
      </c>
      <c r="V4" s="37" t="n">
        <v>432</v>
      </c>
      <c r="W4" s="35" t="n">
        <f aca="false">IF(OR(Q4=0,Q4=""),"",Q4/V4)</f>
        <v>66.625</v>
      </c>
      <c r="X4" s="35" t="n">
        <f aca="false">MAX(G4,T4)+M4</f>
        <v>570</v>
      </c>
      <c r="Y4" s="35" t="n">
        <f aca="false">MAX(I4,V4)+O4</f>
        <v>576</v>
      </c>
      <c r="Z4" s="38"/>
    </row>
    <row r="5" customFormat="false" ht="15.75" hidden="false" customHeight="true" outlineLevel="0" collapsed="false">
      <c r="A5" s="34" t="s">
        <v>262</v>
      </c>
      <c r="B5" s="35" t="n">
        <v>40</v>
      </c>
      <c r="C5" s="36" t="n">
        <v>20</v>
      </c>
      <c r="D5" s="36"/>
      <c r="E5" s="36" t="n">
        <v>0</v>
      </c>
      <c r="F5" s="36" t="n">
        <f aca="false">E5/B5</f>
        <v>0</v>
      </c>
      <c r="G5" s="36" t="n">
        <v>0</v>
      </c>
      <c r="H5" s="36" t="str">
        <f aca="false">IF(OR(E5=0,E5=""),"",E5/G5)</f>
        <v/>
      </c>
      <c r="I5" s="36" t="n">
        <v>0</v>
      </c>
      <c r="J5" s="36" t="str">
        <f aca="false">IF(OR(E5=0,E5=""),"",E5/I5)</f>
        <v/>
      </c>
      <c r="K5" s="36" t="n">
        <v>0</v>
      </c>
      <c r="L5" s="36" t="str">
        <f aca="false">IF(OR(K5=0,K5=""),"",K5/B5)</f>
        <v/>
      </c>
      <c r="M5" s="36" t="n">
        <v>0</v>
      </c>
      <c r="N5" s="36" t="str">
        <f aca="false">IF(OR(K5=0,K5=""),"",K5/M5)</f>
        <v/>
      </c>
      <c r="O5" s="36" t="n">
        <v>0</v>
      </c>
      <c r="P5" s="36" t="str">
        <f aca="false">IF(OR(K5=0,K5=""),"",K5/O5)</f>
        <v/>
      </c>
      <c r="Q5" s="37" t="n">
        <v>23830.2</v>
      </c>
      <c r="R5" s="37" t="n">
        <v>20</v>
      </c>
      <c r="S5" s="35" t="n">
        <f aca="false">IF(OR(Q5=0,Q5=""),"",Q5/B5)</f>
        <v>595.755</v>
      </c>
      <c r="T5" s="37" t="n">
        <v>294</v>
      </c>
      <c r="U5" s="35" t="n">
        <f aca="false">IF(OR(Q5=0,Q5=""),"",Q5/T5)</f>
        <v>81.0551020408163</v>
      </c>
      <c r="V5" s="37" t="n">
        <v>714</v>
      </c>
      <c r="W5" s="35" t="n">
        <f aca="false">IF(OR(Q5=0,Q5=""),"",Q5/V5)</f>
        <v>33.3756302521008</v>
      </c>
      <c r="X5" s="35" t="n">
        <f aca="false">MAX(G5,T5)+M5</f>
        <v>294</v>
      </c>
      <c r="Y5" s="35" t="n">
        <f aca="false">MAX(I5,V5)+O5</f>
        <v>714</v>
      </c>
      <c r="Z5" s="38"/>
    </row>
    <row r="6" customFormat="false" ht="15.75" hidden="false" customHeight="true" outlineLevel="0" collapsed="false">
      <c r="A6" s="39" t="s">
        <v>263</v>
      </c>
      <c r="B6" s="35" t="n">
        <v>44</v>
      </c>
      <c r="C6" s="36" t="n">
        <v>0</v>
      </c>
      <c r="D6" s="36"/>
      <c r="E6" s="36" t="n">
        <v>0</v>
      </c>
      <c r="F6" s="36" t="n">
        <f aca="false">E6/B6</f>
        <v>0</v>
      </c>
      <c r="G6" s="36" t="n">
        <v>0</v>
      </c>
      <c r="H6" s="36" t="str">
        <f aca="false">IF(OR(E6=0,E6=""),"",E6/G6)</f>
        <v/>
      </c>
      <c r="I6" s="36" t="n">
        <v>0</v>
      </c>
      <c r="J6" s="36" t="str">
        <f aca="false">IF(OR(E6=0,E6=""),"",E6/I6)</f>
        <v/>
      </c>
      <c r="K6" s="36" t="n">
        <v>0</v>
      </c>
      <c r="L6" s="36" t="str">
        <f aca="false">IF(OR(K6=0,K6=""),"",K6/B6)</f>
        <v/>
      </c>
      <c r="M6" s="36" t="n">
        <v>0</v>
      </c>
      <c r="N6" s="36" t="str">
        <f aca="false">IF(OR(K6=0,K6=""),"",K6/M6)</f>
        <v/>
      </c>
      <c r="O6" s="36" t="n">
        <v>0</v>
      </c>
      <c r="P6" s="36" t="str">
        <f aca="false">IF(OR(K6=0,K6=""),"",K6/O6)</f>
        <v/>
      </c>
      <c r="Q6" s="35" t="n">
        <v>22491</v>
      </c>
      <c r="R6" s="35" t="n">
        <v>44</v>
      </c>
      <c r="S6" s="35" t="n">
        <f aca="false">IF(OR(Q6=0,Q6=""),"",Q6/B6)</f>
        <v>511.159090909091</v>
      </c>
      <c r="T6" s="35" t="n">
        <v>240</v>
      </c>
      <c r="U6" s="35" t="n">
        <f aca="false">IF(OR(Q6=0,Q6=""),"",Q6/T6)</f>
        <v>93.7125</v>
      </c>
      <c r="V6" s="35" t="n">
        <v>492</v>
      </c>
      <c r="W6" s="35" t="n">
        <f aca="false">IF(OR(Q6=0,Q6=""),"",Q6/V6)</f>
        <v>45.7134146341463</v>
      </c>
      <c r="X6" s="35" t="n">
        <f aca="false">MAX(G6,T6)+M6</f>
        <v>240</v>
      </c>
      <c r="Y6" s="35" t="n">
        <f aca="false">MAX(I6,V6)+O6</f>
        <v>492</v>
      </c>
      <c r="Z6" s="40"/>
    </row>
    <row r="7" customFormat="false" ht="15.75" hidden="false" customHeight="true" outlineLevel="0" collapsed="false">
      <c r="A7" s="39" t="s">
        <v>264</v>
      </c>
      <c r="B7" s="35" t="n">
        <v>35</v>
      </c>
      <c r="C7" s="36" t="n">
        <v>0</v>
      </c>
      <c r="D7" s="36"/>
      <c r="E7" s="36" t="n">
        <v>0</v>
      </c>
      <c r="F7" s="36" t="n">
        <f aca="false">E7/B7</f>
        <v>0</v>
      </c>
      <c r="G7" s="36" t="n">
        <v>0</v>
      </c>
      <c r="H7" s="36" t="str">
        <f aca="false">IF(OR(E7=0,E7=""),"",E7/G7)</f>
        <v/>
      </c>
      <c r="I7" s="36" t="n">
        <v>0</v>
      </c>
      <c r="J7" s="36" t="str">
        <f aca="false">IF(OR(E7=0,E7=""),"",E7/I7)</f>
        <v/>
      </c>
      <c r="K7" s="36" t="n">
        <v>0</v>
      </c>
      <c r="L7" s="36" t="str">
        <f aca="false">IF(OR(K7=0,K7=""),"",K7/B7)</f>
        <v/>
      </c>
      <c r="M7" s="36" t="n">
        <v>0</v>
      </c>
      <c r="N7" s="36" t="str">
        <f aca="false">IF(OR(K7=0,K7=""),"",K7/M7)</f>
        <v/>
      </c>
      <c r="O7" s="36" t="n">
        <v>0</v>
      </c>
      <c r="P7" s="36" t="str">
        <f aca="false">IF(OR(K7=0,K7=""),"",K7/O7)</f>
        <v/>
      </c>
      <c r="Q7" s="35" t="n">
        <v>18360</v>
      </c>
      <c r="R7" s="35" t="n">
        <v>35</v>
      </c>
      <c r="S7" s="35" t="n">
        <f aca="false">IF(OR(Q7=0,Q7=""),"",Q7/B7)</f>
        <v>524.571428571429</v>
      </c>
      <c r="T7" s="35" t="n">
        <v>210</v>
      </c>
      <c r="U7" s="35" t="n">
        <f aca="false">IF(OR(Q7=0,Q7=""),"",Q7/T7)</f>
        <v>87.4285714285714</v>
      </c>
      <c r="V7" s="35" t="n">
        <v>168</v>
      </c>
      <c r="W7" s="35" t="n">
        <f aca="false">IF(OR(Q7=0,Q7=""),"",Q7/V7)</f>
        <v>109.285714285714</v>
      </c>
      <c r="X7" s="35" t="n">
        <f aca="false">MAX(G7,T7)+M7</f>
        <v>210</v>
      </c>
      <c r="Y7" s="35" t="n">
        <f aca="false">MAX(I7,V7)+O7</f>
        <v>168</v>
      </c>
      <c r="Z7" s="40"/>
    </row>
    <row r="8" customFormat="false" ht="15.75" hidden="false" customHeight="true" outlineLevel="0" collapsed="false">
      <c r="A8" s="34" t="s">
        <v>265</v>
      </c>
      <c r="B8" s="35" t="n">
        <v>32</v>
      </c>
      <c r="C8" s="36" t="n">
        <v>0</v>
      </c>
      <c r="D8" s="36"/>
      <c r="E8" s="36" t="n">
        <v>0</v>
      </c>
      <c r="F8" s="36" t="n">
        <f aca="false">E8/B8</f>
        <v>0</v>
      </c>
      <c r="G8" s="36" t="n">
        <v>0</v>
      </c>
      <c r="H8" s="36" t="str">
        <f aca="false">IF(OR(E8=0,E8=""),"",E8/G8)</f>
        <v/>
      </c>
      <c r="I8" s="36" t="n">
        <v>0</v>
      </c>
      <c r="J8" s="36" t="str">
        <f aca="false">IF(OR(E8=0,E8=""),"",E8/I8)</f>
        <v/>
      </c>
      <c r="K8" s="36" t="n">
        <v>0</v>
      </c>
      <c r="L8" s="36" t="str">
        <f aca="false">IF(OR(K8=0,K8=""),"",K8/B8)</f>
        <v/>
      </c>
      <c r="M8" s="36" t="n">
        <v>0</v>
      </c>
      <c r="N8" s="36" t="str">
        <f aca="false">IF(OR(K8=0,K8=""),"",K8/M8)</f>
        <v/>
      </c>
      <c r="O8" s="36" t="n">
        <v>0</v>
      </c>
      <c r="P8" s="36" t="str">
        <f aca="false">IF(OR(K8=0,K8=""),"",K8/O8)</f>
        <v/>
      </c>
      <c r="Q8" s="37" t="n">
        <v>16524</v>
      </c>
      <c r="R8" s="37" t="n">
        <v>32</v>
      </c>
      <c r="S8" s="35" t="n">
        <f aca="false">IF(OR(Q8=0,Q8=""),"",Q8/B8)</f>
        <v>516.375</v>
      </c>
      <c r="T8" s="37" t="n">
        <v>102</v>
      </c>
      <c r="U8" s="35" t="n">
        <f aca="false">IF(OR(Q8=0,Q8=""),"",Q8/T8)</f>
        <v>162</v>
      </c>
      <c r="V8" s="37" t="n">
        <v>660</v>
      </c>
      <c r="W8" s="35" t="n">
        <f aca="false">IF(OR(Q8=0,Q8=""),"",Q8/V8)</f>
        <v>25.0363636363636</v>
      </c>
      <c r="X8" s="35" t="n">
        <f aca="false">MAX(G8,T8)+M8</f>
        <v>102</v>
      </c>
      <c r="Y8" s="35" t="n">
        <f aca="false">MAX(I8,V8)+O8</f>
        <v>660</v>
      </c>
      <c r="Z8" s="38"/>
    </row>
    <row r="9" customFormat="false" ht="15.75" hidden="false" customHeight="true" outlineLevel="0" collapsed="false">
      <c r="A9" s="39" t="s">
        <v>266</v>
      </c>
      <c r="B9" s="35" t="n">
        <v>39</v>
      </c>
      <c r="C9" s="36" t="n">
        <v>39</v>
      </c>
      <c r="D9" s="36"/>
      <c r="E9" s="35" t="n">
        <v>183600</v>
      </c>
      <c r="F9" s="36" t="n">
        <f aca="false">E9/B9</f>
        <v>4707.69230769231</v>
      </c>
      <c r="G9" s="35" t="n">
        <v>264</v>
      </c>
      <c r="H9" s="36" t="n">
        <f aca="false">IF(OR(E9=0,E9=""),"",E9/G9)</f>
        <v>695.454545454546</v>
      </c>
      <c r="I9" s="35" t="n">
        <v>255</v>
      </c>
      <c r="J9" s="36" t="n">
        <f aca="false">IF(OR(E9=0,E9=""),"",E9/I9)</f>
        <v>720</v>
      </c>
      <c r="K9" s="36" t="n">
        <v>0</v>
      </c>
      <c r="L9" s="36" t="str">
        <f aca="false">IF(OR(K9=0,K9=""),"",K9/B9)</f>
        <v/>
      </c>
      <c r="M9" s="36" t="n">
        <v>0</v>
      </c>
      <c r="N9" s="36" t="str">
        <f aca="false">IF(OR(K9=0,K9=""),"",K9/M9)</f>
        <v/>
      </c>
      <c r="O9" s="36" t="n">
        <v>0</v>
      </c>
      <c r="P9" s="36" t="str">
        <f aca="false">IF(OR(K9=0,K9=""),"",K9/O9)</f>
        <v/>
      </c>
      <c r="Q9" s="35" t="n">
        <v>13770</v>
      </c>
      <c r="R9" s="35"/>
      <c r="S9" s="35" t="n">
        <f aca="false">IF(OR(Q9=0,Q9=""),"",Q9/B9)</f>
        <v>353.076923076923</v>
      </c>
      <c r="T9" s="35" t="n">
        <v>198</v>
      </c>
      <c r="U9" s="35" t="n">
        <f aca="false">IF(OR(Q9=0,Q9=""),"",Q9/T9)</f>
        <v>69.5454545454546</v>
      </c>
      <c r="V9" s="35" t="n">
        <v>192</v>
      </c>
      <c r="W9" s="35" t="n">
        <f aca="false">IF(OR(Q9=0,Q9=""),"",Q9/V9)</f>
        <v>71.71875</v>
      </c>
      <c r="X9" s="35" t="n">
        <f aca="false">MAX(G9,T9)+M9</f>
        <v>264</v>
      </c>
      <c r="Y9" s="35" t="n">
        <f aca="false">MAX(I9,V9)+O9</f>
        <v>255</v>
      </c>
      <c r="Z9" s="40"/>
    </row>
    <row r="10" customFormat="false" ht="15.75" hidden="false" customHeight="true" outlineLevel="0" collapsed="false">
      <c r="A10" s="34" t="s">
        <v>267</v>
      </c>
      <c r="B10" s="35" t="n">
        <v>28</v>
      </c>
      <c r="C10" s="36" t="n">
        <v>0</v>
      </c>
      <c r="D10" s="36"/>
      <c r="E10" s="36" t="n">
        <v>0</v>
      </c>
      <c r="F10" s="36" t="n">
        <f aca="false">E10/B10</f>
        <v>0</v>
      </c>
      <c r="G10" s="36" t="n">
        <v>0</v>
      </c>
      <c r="H10" s="36" t="str">
        <f aca="false">IF(OR(E10=0,E10=""),"",E10/G10)</f>
        <v/>
      </c>
      <c r="I10" s="36" t="n">
        <v>0</v>
      </c>
      <c r="J10" s="36" t="str">
        <f aca="false">IF(OR(E10=0,E10=""),"",E10/I10)</f>
        <v/>
      </c>
      <c r="K10" s="36" t="n">
        <v>0</v>
      </c>
      <c r="L10" s="36" t="str">
        <f aca="false">IF(OR(K10=0,K10=""),"",K10/B10)</f>
        <v/>
      </c>
      <c r="M10" s="36" t="n">
        <v>0</v>
      </c>
      <c r="N10" s="36" t="str">
        <f aca="false">IF(OR(K10=0,K10=""),"",K10/M10)</f>
        <v/>
      </c>
      <c r="O10" s="36" t="n">
        <v>0</v>
      </c>
      <c r="P10" s="36" t="str">
        <f aca="false">IF(OR(K10=0,K10=""),"",K10/O10)</f>
        <v/>
      </c>
      <c r="Q10" s="37" t="n">
        <v>13581</v>
      </c>
      <c r="R10" s="37" t="n">
        <v>28</v>
      </c>
      <c r="S10" s="35" t="n">
        <f aca="false">IF(OR(Q10=0,Q10=""),"",Q10/B10)</f>
        <v>485.035714285714</v>
      </c>
      <c r="T10" s="37" t="n">
        <v>150</v>
      </c>
      <c r="U10" s="35" t="n">
        <f aca="false">IF(OR(Q10=0,Q10=""),"",Q10/T10)</f>
        <v>90.54</v>
      </c>
      <c r="V10" s="37" t="n">
        <v>288</v>
      </c>
      <c r="W10" s="35" t="n">
        <f aca="false">IF(OR(Q10=0,Q10=""),"",Q10/V10)</f>
        <v>47.15625</v>
      </c>
      <c r="X10" s="35" t="n">
        <f aca="false">MAX(G10,T10)+M10</f>
        <v>150</v>
      </c>
      <c r="Y10" s="35" t="n">
        <f aca="false">MAX(I10,V10)+O10</f>
        <v>288</v>
      </c>
      <c r="Z10" s="38"/>
    </row>
    <row r="11" customFormat="false" ht="15.75" hidden="false" customHeight="true" outlineLevel="0" collapsed="false">
      <c r="A11" s="39" t="s">
        <v>268</v>
      </c>
      <c r="B11" s="35" t="n">
        <v>24</v>
      </c>
      <c r="C11" s="36" t="n">
        <v>12</v>
      </c>
      <c r="D11" s="36"/>
      <c r="E11" s="36" t="n">
        <v>0</v>
      </c>
      <c r="F11" s="36" t="n">
        <f aca="false">E11/B11</f>
        <v>0</v>
      </c>
      <c r="G11" s="36" t="n">
        <v>0</v>
      </c>
      <c r="H11" s="36" t="str">
        <f aca="false">IF(OR(E11=0,E11=""),"",E11/G11)</f>
        <v/>
      </c>
      <c r="I11" s="36" t="n">
        <v>0</v>
      </c>
      <c r="J11" s="36" t="str">
        <f aca="false">IF(OR(E11=0,E11=""),"",E11/I11)</f>
        <v/>
      </c>
      <c r="K11" s="36" t="n">
        <v>0</v>
      </c>
      <c r="L11" s="36" t="str">
        <f aca="false">IF(OR(K11=0,K11=""),"",K11/B11)</f>
        <v/>
      </c>
      <c r="M11" s="36" t="n">
        <v>0</v>
      </c>
      <c r="N11" s="36" t="str">
        <f aca="false">IF(OR(K11=0,K11=""),"",K11/M11)</f>
        <v/>
      </c>
      <c r="O11" s="36" t="n">
        <v>0</v>
      </c>
      <c r="P11" s="36" t="str">
        <f aca="false">IF(OR(K11=0,K11=""),"",K11/O11)</f>
        <v/>
      </c>
      <c r="Q11" s="35" t="n">
        <v>13510.8</v>
      </c>
      <c r="R11" s="35" t="n">
        <v>12</v>
      </c>
      <c r="S11" s="35" t="n">
        <f aca="false">IF(OR(Q11=0,Q11=""),"",Q11/B11)</f>
        <v>562.95</v>
      </c>
      <c r="T11" s="35" t="n">
        <v>168</v>
      </c>
      <c r="U11" s="35" t="n">
        <f aca="false">IF(OR(Q11=0,Q11=""),"",Q11/T11)</f>
        <v>80.4214285714286</v>
      </c>
      <c r="V11" s="35" t="n">
        <v>390</v>
      </c>
      <c r="W11" s="35" t="n">
        <f aca="false">IF(OR(Q11=0,Q11=""),"",Q11/V11)</f>
        <v>34.6430769230769</v>
      </c>
      <c r="X11" s="35" t="n">
        <f aca="false">MAX(G11,T11)+M11</f>
        <v>168</v>
      </c>
      <c r="Y11" s="35" t="n">
        <f aca="false">MAX(I11,V11)+O11</f>
        <v>390</v>
      </c>
      <c r="Z11" s="41" t="s">
        <v>269</v>
      </c>
    </row>
    <row r="12" customFormat="false" ht="15.75" hidden="false" customHeight="true" outlineLevel="0" collapsed="false">
      <c r="A12" s="34" t="s">
        <v>270</v>
      </c>
      <c r="B12" s="35" t="n">
        <v>72</v>
      </c>
      <c r="C12" s="36" t="n">
        <v>72</v>
      </c>
      <c r="D12" s="36"/>
      <c r="E12" s="36" t="n">
        <v>0</v>
      </c>
      <c r="F12" s="36" t="n">
        <f aca="false">E12/B12</f>
        <v>0</v>
      </c>
      <c r="G12" s="36" t="n">
        <v>0</v>
      </c>
      <c r="H12" s="36" t="str">
        <f aca="false">IF(OR(E12=0,E12=""),"",E12/G12)</f>
        <v/>
      </c>
      <c r="I12" s="36" t="n">
        <v>0</v>
      </c>
      <c r="J12" s="36" t="str">
        <f aca="false">IF(OR(E12=0,E12=""),"",E12/I12)</f>
        <v/>
      </c>
      <c r="K12" s="37" t="n">
        <v>221400</v>
      </c>
      <c r="L12" s="36" t="n">
        <f aca="false">IF(OR(K12=0,K12=""),"",K12/B12)</f>
        <v>3075</v>
      </c>
      <c r="M12" s="37" t="n">
        <v>360</v>
      </c>
      <c r="N12" s="36" t="n">
        <f aca="false">IF(OR(K12=0,K12=""),"",K12/M12)</f>
        <v>615</v>
      </c>
      <c r="O12" s="37" t="n">
        <v>-540</v>
      </c>
      <c r="P12" s="36" t="n">
        <f aca="false">IF(OR(K12=0,K12=""),"",K12/O12)</f>
        <v>-410</v>
      </c>
      <c r="Q12" s="37" t="n">
        <v>12960</v>
      </c>
      <c r="R12" s="37"/>
      <c r="S12" s="35" t="n">
        <f aca="false">IF(OR(Q12=0,Q12=""),"",Q12/B12)</f>
        <v>180</v>
      </c>
      <c r="T12" s="37" t="n">
        <v>360</v>
      </c>
      <c r="U12" s="35" t="n">
        <f aca="false">IF(OR(Q12=0,Q12=""),"",Q12/T12)</f>
        <v>36</v>
      </c>
      <c r="V12" s="37" t="n">
        <v>-540</v>
      </c>
      <c r="W12" s="35" t="n">
        <f aca="false">IF(OR(Q12=0,Q12=""),"",Q12/V12)</f>
        <v>-24</v>
      </c>
      <c r="X12" s="35" t="n">
        <f aca="false">MAX(G12,T12)+M12</f>
        <v>720</v>
      </c>
      <c r="Y12" s="35" t="n">
        <f aca="false">MAX(I12,V12)+O12</f>
        <v>-540</v>
      </c>
      <c r="Z12" s="38"/>
    </row>
    <row r="13" customFormat="false" ht="15.75" hidden="false" customHeight="true" outlineLevel="0" collapsed="false">
      <c r="A13" s="34" t="s">
        <v>271</v>
      </c>
      <c r="B13" s="35" t="n">
        <v>24</v>
      </c>
      <c r="C13" s="36" t="n">
        <v>0</v>
      </c>
      <c r="D13" s="36"/>
      <c r="E13" s="36" t="n">
        <v>0</v>
      </c>
      <c r="F13" s="36" t="n">
        <f aca="false">E13/B13</f>
        <v>0</v>
      </c>
      <c r="G13" s="36" t="n">
        <v>0</v>
      </c>
      <c r="H13" s="36" t="str">
        <f aca="false">IF(OR(E13=0,E13=""),"",E13/G13)</f>
        <v/>
      </c>
      <c r="I13" s="36" t="n">
        <v>0</v>
      </c>
      <c r="J13" s="36" t="str">
        <f aca="false">IF(OR(E13=0,E13=""),"",E13/I13)</f>
        <v/>
      </c>
      <c r="K13" s="36" t="n">
        <v>0</v>
      </c>
      <c r="L13" s="36" t="str">
        <f aca="false">IF(OR(K13=0,K13=""),"",K13/B13)</f>
        <v/>
      </c>
      <c r="M13" s="36" t="n">
        <v>0</v>
      </c>
      <c r="N13" s="36" t="str">
        <f aca="false">IF(OR(K13=0,K13=""),"",K13/M13)</f>
        <v/>
      </c>
      <c r="O13" s="36" t="n">
        <v>0</v>
      </c>
      <c r="P13" s="36" t="str">
        <f aca="false">IF(OR(K13=0,K13=""),"",K13/O13)</f>
        <v/>
      </c>
      <c r="Q13" s="37" t="n">
        <v>11880</v>
      </c>
      <c r="R13" s="37" t="n">
        <v>24</v>
      </c>
      <c r="S13" s="35" t="n">
        <f aca="false">IF(OR(Q13=0,Q13=""),"",Q13/B13)</f>
        <v>495</v>
      </c>
      <c r="T13" s="37" t="n">
        <v>126</v>
      </c>
      <c r="U13" s="35" t="n">
        <f aca="false">IF(OR(Q13=0,Q13=""),"",Q13/T13)</f>
        <v>94.2857142857143</v>
      </c>
      <c r="V13" s="37" t="n">
        <v>96</v>
      </c>
      <c r="W13" s="35" t="n">
        <f aca="false">IF(OR(Q13=0,Q13=""),"",Q13/V13)</f>
        <v>123.75</v>
      </c>
      <c r="X13" s="35" t="n">
        <f aca="false">MAX(G13,T13)+M13</f>
        <v>126</v>
      </c>
      <c r="Y13" s="35" t="n">
        <f aca="false">MAX(I13,V13)+O13</f>
        <v>96</v>
      </c>
      <c r="Z13" s="38"/>
    </row>
    <row r="14" customFormat="false" ht="15.75" hidden="false" customHeight="true" outlineLevel="0" collapsed="false">
      <c r="A14" s="34" t="s">
        <v>272</v>
      </c>
      <c r="B14" s="35" t="n">
        <v>22</v>
      </c>
      <c r="C14" s="36" t="n">
        <v>0</v>
      </c>
      <c r="D14" s="36"/>
      <c r="E14" s="36" t="n">
        <v>0</v>
      </c>
      <c r="F14" s="36" t="n">
        <f aca="false">E14/B14</f>
        <v>0</v>
      </c>
      <c r="G14" s="36" t="n">
        <v>0</v>
      </c>
      <c r="H14" s="36" t="str">
        <f aca="false">IF(OR(E14=0,E14=""),"",E14/G14)</f>
        <v/>
      </c>
      <c r="I14" s="36" t="n">
        <v>0</v>
      </c>
      <c r="J14" s="36" t="str">
        <f aca="false">IF(OR(E14=0,E14=""),"",E14/I14)</f>
        <v/>
      </c>
      <c r="K14" s="36" t="n">
        <v>0</v>
      </c>
      <c r="L14" s="36" t="str">
        <f aca="false">IF(OR(K14=0,K14=""),"",K14/B14)</f>
        <v/>
      </c>
      <c r="M14" s="36" t="n">
        <v>0</v>
      </c>
      <c r="N14" s="36" t="str">
        <f aca="false">IF(OR(K14=0,K14=""),"",K14/M14)</f>
        <v/>
      </c>
      <c r="O14" s="36" t="n">
        <v>0</v>
      </c>
      <c r="P14" s="36" t="str">
        <f aca="false">IF(OR(K14=0,K14=""),"",K14/O14)</f>
        <v/>
      </c>
      <c r="Q14" s="37" t="n">
        <v>10087.2</v>
      </c>
      <c r="R14" s="37" t="n">
        <v>22</v>
      </c>
      <c r="S14" s="35" t="n">
        <f aca="false">IF(OR(Q14=0,Q14=""),"",Q14/B14)</f>
        <v>458.509090909091</v>
      </c>
      <c r="T14" s="37" t="n">
        <v>108</v>
      </c>
      <c r="U14" s="35" t="n">
        <f aca="false">IF(OR(Q14=0,Q14=""),"",Q14/T14)</f>
        <v>93.4</v>
      </c>
      <c r="V14" s="37" t="n">
        <v>210</v>
      </c>
      <c r="W14" s="35" t="n">
        <f aca="false">IF(OR(Q14=0,Q14=""),"",Q14/V14)</f>
        <v>48.0342857142857</v>
      </c>
      <c r="X14" s="35" t="n">
        <f aca="false">MAX(G14,T14)+M14</f>
        <v>108</v>
      </c>
      <c r="Y14" s="35" t="n">
        <f aca="false">MAX(I14,V14)+O14</f>
        <v>210</v>
      </c>
      <c r="Z14" s="38"/>
    </row>
    <row r="15" customFormat="false" ht="15.75" hidden="false" customHeight="true" outlineLevel="0" collapsed="false">
      <c r="A15" s="39" t="s">
        <v>273</v>
      </c>
      <c r="B15" s="35" t="n">
        <v>18</v>
      </c>
      <c r="C15" s="36" t="n">
        <v>0</v>
      </c>
      <c r="D15" s="36"/>
      <c r="E15" s="36" t="n">
        <v>0</v>
      </c>
      <c r="F15" s="36" t="n">
        <f aca="false">E15/B15</f>
        <v>0</v>
      </c>
      <c r="G15" s="36" t="n">
        <v>0</v>
      </c>
      <c r="H15" s="36" t="str">
        <f aca="false">IF(OR(E15=0,E15=""),"",E15/G15)</f>
        <v/>
      </c>
      <c r="I15" s="36" t="n">
        <v>0</v>
      </c>
      <c r="J15" s="36" t="str">
        <f aca="false">IF(OR(E15=0,E15=""),"",E15/I15)</f>
        <v/>
      </c>
      <c r="K15" s="36" t="n">
        <v>0</v>
      </c>
      <c r="L15" s="36" t="str">
        <f aca="false">IF(OR(K15=0,K15=""),"",K15/B15)</f>
        <v/>
      </c>
      <c r="M15" s="36" t="n">
        <v>0</v>
      </c>
      <c r="N15" s="36" t="str">
        <f aca="false">IF(OR(K15=0,K15=""),"",K15/M15)</f>
        <v/>
      </c>
      <c r="O15" s="36" t="n">
        <v>0</v>
      </c>
      <c r="P15" s="36" t="str">
        <f aca="false">IF(OR(K15=0,K15=""),"",K15/O15)</f>
        <v/>
      </c>
      <c r="Q15" s="35" t="n">
        <v>8218.8</v>
      </c>
      <c r="R15" s="35" t="n">
        <v>18</v>
      </c>
      <c r="S15" s="35" t="n">
        <f aca="false">IF(OR(Q15=0,Q15=""),"",Q15/B15)</f>
        <v>456.6</v>
      </c>
      <c r="T15" s="35" t="n">
        <v>84</v>
      </c>
      <c r="U15" s="35" t="n">
        <f aca="false">IF(OR(Q15=0,Q15=""),"",Q15/T15)</f>
        <v>97.8428571428571</v>
      </c>
      <c r="V15" s="35" t="n">
        <v>168</v>
      </c>
      <c r="W15" s="35" t="n">
        <f aca="false">IF(OR(Q15=0,Q15=""),"",Q15/V15)</f>
        <v>48.9214285714286</v>
      </c>
      <c r="X15" s="35" t="n">
        <f aca="false">MAX(G15,T15)+M15</f>
        <v>84</v>
      </c>
      <c r="Y15" s="35" t="n">
        <f aca="false">MAX(I15,V15)+O15</f>
        <v>168</v>
      </c>
      <c r="Z15" s="40"/>
    </row>
    <row r="16" customFormat="false" ht="15.75" hidden="false" customHeight="true" outlineLevel="0" collapsed="false">
      <c r="A16" s="39" t="s">
        <v>274</v>
      </c>
      <c r="B16" s="35" t="n">
        <v>20</v>
      </c>
      <c r="C16" s="36" t="n">
        <v>0</v>
      </c>
      <c r="D16" s="36"/>
      <c r="E16" s="36" t="n">
        <v>0</v>
      </c>
      <c r="F16" s="36" t="n">
        <f aca="false">E16/B16</f>
        <v>0</v>
      </c>
      <c r="G16" s="36" t="n">
        <v>0</v>
      </c>
      <c r="H16" s="36" t="str">
        <f aca="false">IF(OR(E16=0,E16=""),"",E16/G16)</f>
        <v/>
      </c>
      <c r="I16" s="36" t="n">
        <v>0</v>
      </c>
      <c r="J16" s="36" t="str">
        <f aca="false">IF(OR(E16=0,E16=""),"",E16/I16)</f>
        <v/>
      </c>
      <c r="K16" s="36" t="n">
        <v>0</v>
      </c>
      <c r="L16" s="36" t="str">
        <f aca="false">IF(OR(K16=0,K16=""),"",K16/B16)</f>
        <v/>
      </c>
      <c r="M16" s="36" t="n">
        <v>0</v>
      </c>
      <c r="N16" s="36" t="str">
        <f aca="false">IF(OR(K16=0,K16=""),"",K16/M16)</f>
        <v/>
      </c>
      <c r="O16" s="36" t="n">
        <v>0</v>
      </c>
      <c r="P16" s="36" t="str">
        <f aca="false">IF(OR(K16=0,K16=""),"",K16/O16)</f>
        <v/>
      </c>
      <c r="Q16" s="35" t="n">
        <v>7830</v>
      </c>
      <c r="R16" s="35" t="n">
        <v>20</v>
      </c>
      <c r="S16" s="35" t="n">
        <f aca="false">IF(OR(Q16=0,Q16=""),"",Q16/B16)</f>
        <v>391.5</v>
      </c>
      <c r="T16" s="35" t="n">
        <v>60</v>
      </c>
      <c r="U16" s="35" t="n">
        <f aca="false">IF(OR(Q16=0,Q16=""),"",Q16/T16)</f>
        <v>130.5</v>
      </c>
      <c r="V16" s="35" t="n">
        <v>108</v>
      </c>
      <c r="W16" s="35" t="n">
        <f aca="false">IF(OR(Q16=0,Q16=""),"",Q16/V16)</f>
        <v>72.5</v>
      </c>
      <c r="X16" s="35" t="n">
        <f aca="false">MAX(G16,T16)+M16</f>
        <v>60</v>
      </c>
      <c r="Y16" s="35" t="n">
        <f aca="false">MAX(I16,V16)+O16</f>
        <v>108</v>
      </c>
      <c r="Z16" s="40"/>
    </row>
    <row r="17" customFormat="false" ht="15.75" hidden="false" customHeight="true" outlineLevel="0" collapsed="false">
      <c r="A17" s="34" t="s">
        <v>275</v>
      </c>
      <c r="B17" s="35" t="n">
        <v>14</v>
      </c>
      <c r="C17" s="36" t="n">
        <v>7</v>
      </c>
      <c r="D17" s="36"/>
      <c r="E17" s="36" t="n">
        <v>0</v>
      </c>
      <c r="F17" s="36" t="n">
        <f aca="false">E17/B17</f>
        <v>0</v>
      </c>
      <c r="G17" s="36" t="n">
        <v>0</v>
      </c>
      <c r="H17" s="36" t="str">
        <f aca="false">IF(OR(E17=0,E17=""),"",E17/G17)</f>
        <v/>
      </c>
      <c r="I17" s="36" t="n">
        <v>0</v>
      </c>
      <c r="J17" s="36" t="str">
        <f aca="false">IF(OR(E17=0,E17=""),"",E17/I17)</f>
        <v/>
      </c>
      <c r="K17" s="36" t="n">
        <v>0</v>
      </c>
      <c r="L17" s="36" t="str">
        <f aca="false">IF(OR(K17=0,K17=""),"",K17/B17)</f>
        <v/>
      </c>
      <c r="M17" s="36" t="n">
        <v>0</v>
      </c>
      <c r="N17" s="36" t="str">
        <f aca="false">IF(OR(K17=0,K17=""),"",K17/M17)</f>
        <v/>
      </c>
      <c r="O17" s="36" t="n">
        <v>0</v>
      </c>
      <c r="P17" s="36" t="str">
        <f aca="false">IF(OR(K17=0,K17=""),"",K17/O17)</f>
        <v/>
      </c>
      <c r="Q17" s="37" t="n">
        <v>7473.6</v>
      </c>
      <c r="R17" s="37" t="n">
        <v>7</v>
      </c>
      <c r="S17" s="35" t="n">
        <f aca="false">IF(OR(Q17=0,Q17=""),"",Q17/B17)</f>
        <v>533.828571428571</v>
      </c>
      <c r="T17" s="37" t="n">
        <v>90</v>
      </c>
      <c r="U17" s="35" t="n">
        <f aca="false">IF(OR(Q17=0,Q17=""),"",Q17/T17)</f>
        <v>83.04</v>
      </c>
      <c r="V17" s="37" t="n">
        <v>204</v>
      </c>
      <c r="W17" s="35" t="n">
        <f aca="false">IF(OR(Q17=0,Q17=""),"",Q17/V17)</f>
        <v>36.6352941176471</v>
      </c>
      <c r="X17" s="35" t="n">
        <f aca="false">MAX(G17,T17)+M17</f>
        <v>90</v>
      </c>
      <c r="Y17" s="35" t="n">
        <f aca="false">MAX(I17,V17)+O17</f>
        <v>204</v>
      </c>
      <c r="Z17" s="42"/>
    </row>
    <row r="18" customFormat="false" ht="15.75" hidden="false" customHeight="true" outlineLevel="0" collapsed="false">
      <c r="A18" s="34" t="s">
        <v>276</v>
      </c>
      <c r="B18" s="35" t="n">
        <v>20</v>
      </c>
      <c r="C18" s="36" t="n">
        <v>20</v>
      </c>
      <c r="D18" s="36"/>
      <c r="E18" s="37" t="n">
        <v>89370</v>
      </c>
      <c r="F18" s="36" t="n">
        <f aca="false">E18/B18</f>
        <v>4468.5</v>
      </c>
      <c r="G18" s="37" t="n">
        <v>126</v>
      </c>
      <c r="H18" s="36" t="n">
        <f aca="false">IF(OR(E18=0,E18=""),"",E18/G18)</f>
        <v>709.285714285714</v>
      </c>
      <c r="I18" s="37" t="n">
        <v>120</v>
      </c>
      <c r="J18" s="36" t="n">
        <f aca="false">IF(OR(E18=0,E18=""),"",E18/I18)</f>
        <v>744.75</v>
      </c>
      <c r="K18" s="36" t="n">
        <v>0</v>
      </c>
      <c r="L18" s="36" t="str">
        <f aca="false">IF(OR(K18=0,K18=""),"",K18/B18)</f>
        <v/>
      </c>
      <c r="M18" s="36" t="n">
        <v>0</v>
      </c>
      <c r="N18" s="36" t="str">
        <f aca="false">IF(OR(K18=0,K18=""),"",K18/M18)</f>
        <v/>
      </c>
      <c r="O18" s="36" t="n">
        <v>0</v>
      </c>
      <c r="P18" s="36" t="str">
        <f aca="false">IF(OR(K18=0,K18=""),"",K18/O18)</f>
        <v/>
      </c>
      <c r="Q18" s="37" t="n">
        <v>6696</v>
      </c>
      <c r="R18" s="37"/>
      <c r="S18" s="35" t="n">
        <f aca="false">IF(OR(Q18=0,Q18=""),"",Q18/B18)</f>
        <v>334.8</v>
      </c>
      <c r="T18" s="37" t="n">
        <v>96</v>
      </c>
      <c r="U18" s="35" t="n">
        <f aca="false">IF(OR(Q18=0,Q18=""),"",Q18/T18)</f>
        <v>69.75</v>
      </c>
      <c r="V18" s="37" t="n">
        <v>90</v>
      </c>
      <c r="W18" s="35" t="n">
        <f aca="false">IF(OR(Q18=0,Q18=""),"",Q18/V18)</f>
        <v>74.4</v>
      </c>
      <c r="X18" s="35" t="n">
        <f aca="false">MAX(G18,T18)+M18</f>
        <v>126</v>
      </c>
      <c r="Y18" s="35" t="n">
        <f aca="false">MAX(I18,V18)+O18</f>
        <v>120</v>
      </c>
      <c r="Z18" s="38"/>
    </row>
    <row r="19" customFormat="false" ht="15.75" hidden="false" customHeight="true" outlineLevel="0" collapsed="false">
      <c r="A19" s="39" t="s">
        <v>277</v>
      </c>
      <c r="B19" s="35" t="n">
        <v>36</v>
      </c>
      <c r="C19" s="36" t="n">
        <v>36</v>
      </c>
      <c r="D19" s="36"/>
      <c r="E19" s="36" t="n">
        <v>0</v>
      </c>
      <c r="F19" s="36" t="n">
        <f aca="false">E19/B19</f>
        <v>0</v>
      </c>
      <c r="G19" s="36" t="n">
        <v>0</v>
      </c>
      <c r="H19" s="36" t="str">
        <f aca="false">IF(OR(E19=0,E19=""),"",E19/G19)</f>
        <v/>
      </c>
      <c r="I19" s="36" t="n">
        <v>0</v>
      </c>
      <c r="J19" s="36" t="str">
        <f aca="false">IF(OR(E19=0,E19=""),"",E19/I19)</f>
        <v/>
      </c>
      <c r="K19" s="35" t="n">
        <v>102600</v>
      </c>
      <c r="L19" s="36" t="n">
        <f aca="false">IF(OR(K19=0,K19=""),"",K19/B19)</f>
        <v>2850</v>
      </c>
      <c r="M19" s="35" t="n">
        <v>180</v>
      </c>
      <c r="N19" s="36" t="n">
        <f aca="false">IF(OR(K19=0,K19=""),"",K19/M19)</f>
        <v>570</v>
      </c>
      <c r="O19" s="35" t="n">
        <v>-360</v>
      </c>
      <c r="P19" s="36" t="n">
        <f aca="false">IF(OR(K19=0,K19=""),"",K19/O19)</f>
        <v>-285</v>
      </c>
      <c r="Q19" s="35" t="n">
        <v>6480</v>
      </c>
      <c r="R19" s="35"/>
      <c r="S19" s="35" t="n">
        <f aca="false">IF(OR(Q19=0,Q19=""),"",Q19/B19)</f>
        <v>180</v>
      </c>
      <c r="T19" s="35" t="n">
        <v>180</v>
      </c>
      <c r="U19" s="35" t="n">
        <f aca="false">IF(OR(Q19=0,Q19=""),"",Q19/T19)</f>
        <v>36</v>
      </c>
      <c r="V19" s="35" t="n">
        <v>-360</v>
      </c>
      <c r="W19" s="35" t="n">
        <f aca="false">IF(OR(Q19=0,Q19=""),"",Q19/V19)</f>
        <v>-18</v>
      </c>
      <c r="X19" s="35" t="n">
        <f aca="false">MAX(G19,T19)+M19</f>
        <v>360</v>
      </c>
      <c r="Y19" s="35" t="n">
        <f aca="false">MAX(I19,V19)+O19</f>
        <v>-360</v>
      </c>
      <c r="Z19" s="40"/>
    </row>
    <row r="20" customFormat="false" ht="15.75" hidden="false" customHeight="true" outlineLevel="0" collapsed="false">
      <c r="A20" s="39" t="s">
        <v>278</v>
      </c>
      <c r="B20" s="35" t="n">
        <v>15</v>
      </c>
      <c r="C20" s="36" t="n">
        <v>0</v>
      </c>
      <c r="D20" s="36"/>
      <c r="E20" s="36" t="n">
        <v>0</v>
      </c>
      <c r="F20" s="36" t="n">
        <f aca="false">E20/B20</f>
        <v>0</v>
      </c>
      <c r="G20" s="36" t="n">
        <v>0</v>
      </c>
      <c r="H20" s="36" t="str">
        <f aca="false">IF(OR(E20=0,E20=""),"",E20/G20)</f>
        <v/>
      </c>
      <c r="I20" s="36" t="n">
        <v>0</v>
      </c>
      <c r="J20" s="36" t="str">
        <f aca="false">IF(OR(E20=0,E20=""),"",E20/I20)</f>
        <v/>
      </c>
      <c r="K20" s="36" t="n">
        <v>0</v>
      </c>
      <c r="L20" s="36" t="str">
        <f aca="false">IF(OR(K20=0,K20=""),"",K20/B20)</f>
        <v/>
      </c>
      <c r="M20" s="36" t="n">
        <v>0</v>
      </c>
      <c r="N20" s="36" t="str">
        <f aca="false">IF(OR(K20=0,K20=""),"",K20/M20)</f>
        <v/>
      </c>
      <c r="O20" s="36" t="n">
        <v>0</v>
      </c>
      <c r="P20" s="36" t="str">
        <f aca="false">IF(OR(K20=0,K20=""),"",K20/O20)</f>
        <v/>
      </c>
      <c r="Q20" s="35" t="n">
        <v>5688</v>
      </c>
      <c r="R20" s="35" t="n">
        <v>15</v>
      </c>
      <c r="S20" s="35" t="n">
        <f aca="false">IF(OR(Q20=0,Q20=""),"",Q20/B20)</f>
        <v>379.2</v>
      </c>
      <c r="T20" s="35" t="n">
        <v>54</v>
      </c>
      <c r="U20" s="35" t="n">
        <f aca="false">IF(OR(Q20=0,Q20=""),"",Q20/T20)</f>
        <v>105.333333333333</v>
      </c>
      <c r="V20" s="35" t="n">
        <v>42</v>
      </c>
      <c r="W20" s="35" t="n">
        <f aca="false">IF(OR(Q20=0,Q20=""),"",Q20/V20)</f>
        <v>135.428571428571</v>
      </c>
      <c r="X20" s="35" t="n">
        <f aca="false">MAX(G20,T20)+M20</f>
        <v>54</v>
      </c>
      <c r="Y20" s="35" t="n">
        <f aca="false">MAX(I20,V20)+O20</f>
        <v>42</v>
      </c>
      <c r="Z20" s="40"/>
    </row>
    <row r="21" customFormat="false" ht="15.75" hidden="false" customHeight="true" outlineLevel="0" collapsed="false">
      <c r="A21" s="39" t="s">
        <v>279</v>
      </c>
      <c r="B21" s="35" t="n">
        <v>18</v>
      </c>
      <c r="C21" s="36" t="n">
        <v>15</v>
      </c>
      <c r="D21" s="36"/>
      <c r="E21" s="36" t="n">
        <v>0</v>
      </c>
      <c r="F21" s="36" t="n">
        <f aca="false">E21/B21</f>
        <v>0</v>
      </c>
      <c r="G21" s="36" t="n">
        <v>0</v>
      </c>
      <c r="H21" s="36" t="str">
        <f aca="false">IF(OR(E21=0,E21=""),"",E21/G21)</f>
        <v/>
      </c>
      <c r="I21" s="36" t="n">
        <v>0</v>
      </c>
      <c r="J21" s="36" t="str">
        <f aca="false">IF(OR(E21=0,E21=""),"",E21/I21)</f>
        <v/>
      </c>
      <c r="K21" s="35" t="n">
        <v>21600</v>
      </c>
      <c r="L21" s="36" t="n">
        <f aca="false">IF(OR(K21=0,K21=""),"",K21/B21)</f>
        <v>1200</v>
      </c>
      <c r="M21" s="35" t="n">
        <v>39</v>
      </c>
      <c r="N21" s="36" t="n">
        <f aca="false">IF(OR(K21=0,K21=""),"",K21/M21)</f>
        <v>553.846153846154</v>
      </c>
      <c r="O21" s="35" t="n">
        <v>117</v>
      </c>
      <c r="P21" s="36" t="n">
        <f aca="false">IF(OR(K21=0,K21=""),"",K21/O21)</f>
        <v>184.615384615385</v>
      </c>
      <c r="Q21" s="35" t="n">
        <v>5670</v>
      </c>
      <c r="R21" s="35" t="n">
        <v>3</v>
      </c>
      <c r="S21" s="35" t="n">
        <f aca="false">IF(OR(Q21=0,Q21=""),"",Q21/B21)</f>
        <v>315</v>
      </c>
      <c r="T21" s="35" t="n">
        <v>81</v>
      </c>
      <c r="U21" s="35" t="n">
        <f aca="false">IF(OR(Q21=0,Q21=""),"",Q21/T21)</f>
        <v>70</v>
      </c>
      <c r="V21" s="35" t="n">
        <v>174</v>
      </c>
      <c r="W21" s="35" t="n">
        <f aca="false">IF(OR(Q21=0,Q21=""),"",Q21/V21)</f>
        <v>32.5862068965517</v>
      </c>
      <c r="X21" s="35" t="n">
        <f aca="false">MAX(G21,T21)+M21</f>
        <v>120</v>
      </c>
      <c r="Y21" s="35" t="n">
        <f aca="false">MAX(I21,V21)+O21</f>
        <v>291</v>
      </c>
      <c r="Z21" s="40"/>
    </row>
    <row r="22" customFormat="false" ht="15.75" hidden="false" customHeight="true" outlineLevel="0" collapsed="false">
      <c r="A22" s="39" t="s">
        <v>280</v>
      </c>
      <c r="B22" s="35" t="n">
        <v>26</v>
      </c>
      <c r="C22" s="36" t="n">
        <v>26</v>
      </c>
      <c r="D22" s="36"/>
      <c r="E22" s="35" t="n">
        <v>74520</v>
      </c>
      <c r="F22" s="36" t="n">
        <f aca="false">E22/B22</f>
        <v>2866.15384615385</v>
      </c>
      <c r="G22" s="35" t="n">
        <v>123</v>
      </c>
      <c r="H22" s="36" t="n">
        <f aca="false">IF(OR(E22=0,E22=""),"",E22/G22)</f>
        <v>605.853658536585</v>
      </c>
      <c r="I22" s="35" t="n">
        <v>117</v>
      </c>
      <c r="J22" s="36" t="n">
        <f aca="false">IF(OR(E22=0,E22=""),"",E22/I22)</f>
        <v>636.923076923077</v>
      </c>
      <c r="K22" s="35" t="n">
        <v>33264</v>
      </c>
      <c r="L22" s="36" t="n">
        <f aca="false">IF(OR(K22=0,K22=""),"",K22/B22)</f>
        <v>1279.38461538462</v>
      </c>
      <c r="M22" s="35" t="n">
        <v>63</v>
      </c>
      <c r="N22" s="36" t="n">
        <f aca="false">IF(OR(K22=0,K22=""),"",K22/M22)</f>
        <v>528</v>
      </c>
      <c r="O22" s="35" t="n">
        <v>66</v>
      </c>
      <c r="P22" s="36" t="n">
        <f aca="false">IF(OR(K22=0,K22=""),"",K22/O22)</f>
        <v>504</v>
      </c>
      <c r="Q22" s="35" t="n">
        <v>5562</v>
      </c>
      <c r="R22" s="35"/>
      <c r="S22" s="35" t="n">
        <f aca="false">IF(OR(Q22=0,Q22=""),"",Q22/B22)</f>
        <v>213.923076923077</v>
      </c>
      <c r="T22" s="35" t="n">
        <v>90</v>
      </c>
      <c r="U22" s="35" t="n">
        <f aca="false">IF(OR(Q22=0,Q22=""),"",Q22/T22)</f>
        <v>61.8</v>
      </c>
      <c r="V22" s="35" t="n">
        <v>87</v>
      </c>
      <c r="W22" s="35" t="n">
        <f aca="false">IF(OR(Q22=0,Q22=""),"",Q22/V22)</f>
        <v>63.9310344827586</v>
      </c>
      <c r="X22" s="35" t="n">
        <f aca="false">MAX(G22,T22)+M22</f>
        <v>186</v>
      </c>
      <c r="Y22" s="35" t="n">
        <f aca="false">MAX(I22,V22)+O22</f>
        <v>183</v>
      </c>
      <c r="Z22" s="40"/>
    </row>
    <row r="23" customFormat="false" ht="15.75" hidden="false" customHeight="true" outlineLevel="0" collapsed="false">
      <c r="A23" s="34" t="s">
        <v>281</v>
      </c>
      <c r="B23" s="35" t="n">
        <v>16</v>
      </c>
      <c r="C23" s="36" t="n">
        <v>0</v>
      </c>
      <c r="D23" s="36"/>
      <c r="E23" s="36" t="n">
        <v>0</v>
      </c>
      <c r="F23" s="36" t="n">
        <f aca="false">E23/B23</f>
        <v>0</v>
      </c>
      <c r="G23" s="36" t="n">
        <v>0</v>
      </c>
      <c r="H23" s="36" t="str">
        <f aca="false">IF(OR(E23=0,E23=""),"",E23/G23)</f>
        <v/>
      </c>
      <c r="I23" s="36" t="n">
        <v>0</v>
      </c>
      <c r="J23" s="36" t="str">
        <f aca="false">IF(OR(E23=0,E23=""),"",E23/I23)</f>
        <v/>
      </c>
      <c r="K23" s="36" t="n">
        <v>0</v>
      </c>
      <c r="L23" s="36" t="str">
        <f aca="false">IF(OR(K23=0,K23=""),"",K23/B23)</f>
        <v/>
      </c>
      <c r="M23" s="36" t="n">
        <v>0</v>
      </c>
      <c r="N23" s="36" t="str">
        <f aca="false">IF(OR(K23=0,K23=""),"",K23/M23)</f>
        <v/>
      </c>
      <c r="O23" s="36" t="n">
        <v>0</v>
      </c>
      <c r="P23" s="36" t="str">
        <f aca="false">IF(OR(K23=0,K23=""),"",K23/O23)</f>
        <v/>
      </c>
      <c r="Q23" s="37" t="n">
        <v>4876.2</v>
      </c>
      <c r="R23" s="37" t="n">
        <v>16</v>
      </c>
      <c r="S23" s="35" t="n">
        <f aca="false">IF(OR(Q23=0,Q23=""),"",Q23/B23)</f>
        <v>304.7625</v>
      </c>
      <c r="T23" s="37" t="n">
        <v>36</v>
      </c>
      <c r="U23" s="35" t="n">
        <f aca="false">IF(OR(Q23=0,Q23=""),"",Q23/T23)</f>
        <v>135.45</v>
      </c>
      <c r="V23" s="37" t="n">
        <v>54</v>
      </c>
      <c r="W23" s="35" t="n">
        <f aca="false">IF(OR(Q23=0,Q23=""),"",Q23/V23)</f>
        <v>90.3</v>
      </c>
      <c r="X23" s="35" t="n">
        <f aca="false">MAX(G23,T23)+M23</f>
        <v>36</v>
      </c>
      <c r="Y23" s="35" t="n">
        <f aca="false">MAX(I23,V23)+O23</f>
        <v>54</v>
      </c>
      <c r="Z23" s="38"/>
    </row>
    <row r="24" customFormat="false" ht="15.75" hidden="false" customHeight="true" outlineLevel="0" collapsed="false">
      <c r="A24" s="39" t="s">
        <v>282</v>
      </c>
      <c r="B24" s="35" t="n">
        <v>9</v>
      </c>
      <c r="C24" s="36" t="n">
        <v>0</v>
      </c>
      <c r="D24" s="36"/>
      <c r="E24" s="36" t="n">
        <v>0</v>
      </c>
      <c r="F24" s="36" t="n">
        <f aca="false">E24/B24</f>
        <v>0</v>
      </c>
      <c r="G24" s="36" t="n">
        <v>0</v>
      </c>
      <c r="H24" s="36" t="str">
        <f aca="false">IF(OR(E24=0,E24=""),"",E24/G24)</f>
        <v/>
      </c>
      <c r="I24" s="36" t="n">
        <v>0</v>
      </c>
      <c r="J24" s="36" t="str">
        <f aca="false">IF(OR(E24=0,E24=""),"",E24/I24)</f>
        <v/>
      </c>
      <c r="K24" s="36" t="n">
        <v>0</v>
      </c>
      <c r="L24" s="36" t="str">
        <f aca="false">IF(OR(K24=0,K24=""),"",K24/B24)</f>
        <v/>
      </c>
      <c r="M24" s="36" t="n">
        <v>0</v>
      </c>
      <c r="N24" s="36" t="str">
        <f aca="false">IF(OR(K24=0,K24=""),"",K24/M24)</f>
        <v/>
      </c>
      <c r="O24" s="36" t="n">
        <v>0</v>
      </c>
      <c r="P24" s="36" t="str">
        <f aca="false">IF(OR(K24=0,K24=""),"",K24/O24)</f>
        <v/>
      </c>
      <c r="Q24" s="35" t="n">
        <v>4482</v>
      </c>
      <c r="R24" s="35" t="n">
        <v>9</v>
      </c>
      <c r="S24" s="35" t="n">
        <f aca="false">IF(OR(Q24=0,Q24=""),"",Q24/B24)</f>
        <v>498</v>
      </c>
      <c r="T24" s="35" t="n">
        <v>27.6</v>
      </c>
      <c r="U24" s="35" t="n">
        <f aca="false">IF(OR(Q24=0,Q24=""),"",Q24/T24)</f>
        <v>162.391304347826</v>
      </c>
      <c r="V24" s="35" t="n">
        <v>180</v>
      </c>
      <c r="W24" s="35" t="n">
        <f aca="false">IF(OR(Q24=0,Q24=""),"",Q24/V24)</f>
        <v>24.9</v>
      </c>
      <c r="X24" s="35" t="n">
        <f aca="false">MAX(G24,T24)+M24</f>
        <v>27.6</v>
      </c>
      <c r="Y24" s="35" t="n">
        <f aca="false">MAX(I24,V24)+O24</f>
        <v>180</v>
      </c>
      <c r="Z24" s="40"/>
    </row>
    <row r="25" customFormat="false" ht="15.75" hidden="false" customHeight="true" outlineLevel="0" collapsed="false">
      <c r="A25" s="34" t="s">
        <v>283</v>
      </c>
      <c r="B25" s="35" t="n">
        <v>18</v>
      </c>
      <c r="C25" s="36" t="n">
        <v>18</v>
      </c>
      <c r="D25" s="36"/>
      <c r="E25" s="36" t="n">
        <v>0</v>
      </c>
      <c r="F25" s="36" t="n">
        <f aca="false">E25/B25</f>
        <v>0</v>
      </c>
      <c r="G25" s="36" t="n">
        <v>0</v>
      </c>
      <c r="H25" s="36" t="str">
        <f aca="false">IF(OR(E25=0,E25=""),"",E25/G25)</f>
        <v/>
      </c>
      <c r="I25" s="36" t="n">
        <v>0</v>
      </c>
      <c r="J25" s="36" t="str">
        <f aca="false">IF(OR(E25=0,E25=""),"",E25/I25)</f>
        <v/>
      </c>
      <c r="K25" s="37" t="n">
        <v>45000</v>
      </c>
      <c r="L25" s="36" t="n">
        <f aca="false">IF(OR(K25=0,K25=""),"",K25/B25)</f>
        <v>2500</v>
      </c>
      <c r="M25" s="37" t="n">
        <v>90</v>
      </c>
      <c r="N25" s="36" t="n">
        <f aca="false">IF(OR(K25=0,K25=""),"",K25/M25)</f>
        <v>500</v>
      </c>
      <c r="O25" s="37" t="n">
        <v>-180</v>
      </c>
      <c r="P25" s="36" t="n">
        <f aca="false">IF(OR(K25=0,K25=""),"",K25/O25)</f>
        <v>-250</v>
      </c>
      <c r="Q25" s="37" t="n">
        <v>3240</v>
      </c>
      <c r="R25" s="37"/>
      <c r="S25" s="35" t="n">
        <f aca="false">IF(OR(Q25=0,Q25=""),"",Q25/B25)</f>
        <v>180</v>
      </c>
      <c r="T25" s="37" t="n">
        <v>90</v>
      </c>
      <c r="U25" s="35" t="n">
        <f aca="false">IF(OR(Q25=0,Q25=""),"",Q25/T25)</f>
        <v>36</v>
      </c>
      <c r="V25" s="37" t="n">
        <v>-180</v>
      </c>
      <c r="W25" s="35" t="n">
        <f aca="false">IF(OR(Q25=0,Q25=""),"",Q25/V25)</f>
        <v>-18</v>
      </c>
      <c r="X25" s="35" t="n">
        <f aca="false">MAX(G25,T25)+M25</f>
        <v>180</v>
      </c>
      <c r="Y25" s="35" t="n">
        <f aca="false">MAX(I25,V25)+O25</f>
        <v>-180</v>
      </c>
      <c r="Z25" s="38"/>
    </row>
    <row r="26" customFormat="false" ht="15.75" hidden="false" customHeight="true" outlineLevel="0" collapsed="false">
      <c r="A26" s="39" t="s">
        <v>284</v>
      </c>
      <c r="B26" s="35" t="n">
        <v>12</v>
      </c>
      <c r="C26" s="36" t="n">
        <v>12</v>
      </c>
      <c r="D26" s="36"/>
      <c r="E26" s="35" t="n">
        <v>16200</v>
      </c>
      <c r="F26" s="36" t="n">
        <f aca="false">E26/B26</f>
        <v>1350</v>
      </c>
      <c r="G26" s="35" t="n">
        <v>72</v>
      </c>
      <c r="H26" s="36" t="n">
        <f aca="false">IF(OR(E26=0,E26=""),"",E26/G26)</f>
        <v>225</v>
      </c>
      <c r="I26" s="35" t="n">
        <v>36</v>
      </c>
      <c r="J26" s="36" t="n">
        <f aca="false">IF(OR(E26=0,E26=""),"",E26/I26)</f>
        <v>450</v>
      </c>
      <c r="K26" s="35" t="n">
        <v>10800</v>
      </c>
      <c r="L26" s="36" t="n">
        <f aca="false">IF(OR(K26=0,K26=""),"",K26/B26)</f>
        <v>900</v>
      </c>
      <c r="M26" s="35" t="n">
        <v>72</v>
      </c>
      <c r="N26" s="36" t="n">
        <f aca="false">IF(OR(K26=0,K26=""),"",K26/M26)</f>
        <v>150</v>
      </c>
      <c r="O26" s="35" t="n">
        <v>36</v>
      </c>
      <c r="P26" s="36" t="n">
        <f aca="false">IF(OR(K26=0,K26=""),"",K26/O26)</f>
        <v>300</v>
      </c>
      <c r="Q26" s="35" t="n">
        <v>1620</v>
      </c>
      <c r="R26" s="35"/>
      <c r="S26" s="35" t="n">
        <f aca="false">IF(OR(Q26=0,Q26=""),"",Q26/B26)</f>
        <v>135</v>
      </c>
      <c r="T26" s="35" t="n">
        <v>72</v>
      </c>
      <c r="U26" s="35" t="n">
        <f aca="false">IF(OR(Q26=0,Q26=""),"",Q26/T26)</f>
        <v>22.5</v>
      </c>
      <c r="V26" s="35" t="n">
        <v>36</v>
      </c>
      <c r="W26" s="35" t="n">
        <f aca="false">IF(OR(Q26=0,Q26=""),"",Q26/V26)</f>
        <v>45</v>
      </c>
      <c r="X26" s="35" t="n">
        <f aca="false">MAX(G26,T26)+M26</f>
        <v>144</v>
      </c>
      <c r="Y26" s="35" t="n">
        <f aca="false">MAX(I26,V26)+O26</f>
        <v>72</v>
      </c>
      <c r="Z26" s="40"/>
    </row>
    <row r="27" customFormat="false" ht="15.75" hidden="false" customHeight="true" outlineLevel="0" collapsed="false">
      <c r="A27" s="39" t="s">
        <v>285</v>
      </c>
      <c r="B27" s="35" t="n">
        <v>18</v>
      </c>
      <c r="C27" s="36" t="n">
        <v>18</v>
      </c>
      <c r="D27" s="36"/>
      <c r="E27" s="36" t="n">
        <v>0</v>
      </c>
      <c r="F27" s="36" t="n">
        <f aca="false">E27/B27</f>
        <v>0</v>
      </c>
      <c r="G27" s="36" t="n">
        <v>0</v>
      </c>
      <c r="H27" s="36" t="str">
        <f aca="false">IF(OR(E27=0,E27=""),"",E27/G27)</f>
        <v/>
      </c>
      <c r="I27" s="36" t="n">
        <v>0</v>
      </c>
      <c r="J27" s="36" t="str">
        <f aca="false">IF(OR(E27=0,E27=""),"",E27/I27)</f>
        <v/>
      </c>
      <c r="K27" s="35" t="n">
        <v>41040</v>
      </c>
      <c r="L27" s="36" t="n">
        <f aca="false">IF(OR(K27=0,K27=""),"",K27/B27)</f>
        <v>2280</v>
      </c>
      <c r="M27" s="35" t="n">
        <v>66</v>
      </c>
      <c r="N27" s="36" t="n">
        <f aca="false">IF(OR(K27=0,K27=""),"",K27/M27)</f>
        <v>621.818181818182</v>
      </c>
      <c r="O27" s="35" t="n">
        <v>48</v>
      </c>
      <c r="P27" s="36" t="n">
        <f aca="false">IF(OR(K27=0,K27=""),"",K27/O27)</f>
        <v>855</v>
      </c>
      <c r="Q27" s="36" t="n">
        <v>0</v>
      </c>
      <c r="R27" s="36"/>
      <c r="S27" s="35" t="str">
        <f aca="false">IF(OR(Q27=0,Q27=""),"",Q27/B27)</f>
        <v/>
      </c>
      <c r="T27" s="36" t="n">
        <v>0</v>
      </c>
      <c r="U27" s="35" t="str">
        <f aca="false">IF(OR(Q27=0,Q27=""),"",Q27/T27)</f>
        <v/>
      </c>
      <c r="V27" s="36" t="n">
        <v>0</v>
      </c>
      <c r="W27" s="35" t="str">
        <f aca="false">IF(OR(Q27=0,Q27=""),"",Q27/V27)</f>
        <v/>
      </c>
      <c r="X27" s="35" t="n">
        <f aca="false">MAX(G27,T27)+M27</f>
        <v>66</v>
      </c>
      <c r="Y27" s="35" t="n">
        <f aca="false">MAX(I27,V27)+O27</f>
        <v>48</v>
      </c>
      <c r="Z27" s="40"/>
    </row>
    <row r="28" customFormat="false" ht="15.75" hidden="false" customHeight="true" outlineLevel="0" collapsed="false">
      <c r="A28" s="39" t="s">
        <v>286</v>
      </c>
      <c r="B28" s="35" t="n">
        <v>25</v>
      </c>
      <c r="C28" s="36" t="n">
        <v>25</v>
      </c>
      <c r="D28" s="36"/>
      <c r="E28" s="35" t="n">
        <v>97200</v>
      </c>
      <c r="F28" s="36" t="n">
        <f aca="false">E28/B28</f>
        <v>3888</v>
      </c>
      <c r="G28" s="35" t="n">
        <v>104.4</v>
      </c>
      <c r="H28" s="36" t="n">
        <f aca="false">IF(OR(E28=0,E28=""),"",E28/G28)</f>
        <v>931.034482758621</v>
      </c>
      <c r="I28" s="35" t="n">
        <v>66</v>
      </c>
      <c r="J28" s="36" t="n">
        <f aca="false">IF(OR(E28=0,E28=""),"",E28/I28)</f>
        <v>1472.72727272727</v>
      </c>
      <c r="K28" s="36" t="n">
        <v>0</v>
      </c>
      <c r="L28" s="36" t="str">
        <f aca="false">IF(OR(K28=0,K28=""),"",K28/B28)</f>
        <v/>
      </c>
      <c r="M28" s="36" t="n">
        <v>0</v>
      </c>
      <c r="N28" s="36" t="str">
        <f aca="false">IF(OR(K28=0,K28=""),"",K28/M28)</f>
        <v/>
      </c>
      <c r="O28" s="36" t="n">
        <v>0</v>
      </c>
      <c r="P28" s="36" t="str">
        <f aca="false">IF(OR(K28=0,K28=""),"",K28/O28)</f>
        <v/>
      </c>
      <c r="Q28" s="36" t="n">
        <v>0</v>
      </c>
      <c r="R28" s="36"/>
      <c r="S28" s="35" t="str">
        <f aca="false">IF(OR(Q28=0,Q28=""),"",Q28/B28)</f>
        <v/>
      </c>
      <c r="T28" s="36" t="n">
        <v>0</v>
      </c>
      <c r="U28" s="35" t="str">
        <f aca="false">IF(OR(Q28=0,Q28=""),"",Q28/T28)</f>
        <v/>
      </c>
      <c r="V28" s="36" t="n">
        <v>0</v>
      </c>
      <c r="W28" s="35" t="str">
        <f aca="false">IF(OR(Q28=0,Q28=""),"",Q28/V28)</f>
        <v/>
      </c>
      <c r="X28" s="35" t="n">
        <f aca="false">MAX(G28,T28)+M28</f>
        <v>104.4</v>
      </c>
      <c r="Y28" s="35" t="n">
        <f aca="false">MAX(I28,V28)+O28</f>
        <v>66</v>
      </c>
      <c r="Z28" s="40"/>
    </row>
    <row r="29" customFormat="false" ht="15.75" hidden="false" customHeight="true" outlineLevel="0" collapsed="false">
      <c r="A29" s="34" t="s">
        <v>287</v>
      </c>
      <c r="B29" s="35" t="n">
        <v>22</v>
      </c>
      <c r="C29" s="36" t="n">
        <v>22</v>
      </c>
      <c r="D29" s="36"/>
      <c r="E29" s="37" t="n">
        <v>52920</v>
      </c>
      <c r="F29" s="36" t="n">
        <f aca="false">E29/B29</f>
        <v>2405.45454545455</v>
      </c>
      <c r="G29" s="37" t="n">
        <v>52.2</v>
      </c>
      <c r="H29" s="36" t="n">
        <f aca="false">IF(OR(E29=0,E29=""),"",E29/G29)</f>
        <v>1013.79310344828</v>
      </c>
      <c r="I29" s="37" t="n">
        <v>102</v>
      </c>
      <c r="J29" s="36" t="n">
        <f aca="false">IF(OR(E29=0,E29=""),"",E29/I29)</f>
        <v>518.823529411765</v>
      </c>
      <c r="K29" s="37" t="n">
        <v>21960</v>
      </c>
      <c r="L29" s="36" t="n">
        <f aca="false">IF(OR(K29=0,K29=""),"",K29/B29)</f>
        <v>998.181818181818</v>
      </c>
      <c r="M29" s="37" t="n">
        <v>38.4</v>
      </c>
      <c r="N29" s="36" t="n">
        <f aca="false">IF(OR(K29=0,K29=""),"",K29/M29)</f>
        <v>571.875</v>
      </c>
      <c r="O29" s="37" t="n">
        <v>76.8</v>
      </c>
      <c r="P29" s="36" t="n">
        <f aca="false">IF(OR(K29=0,K29=""),"",K29/O29)</f>
        <v>285.9375</v>
      </c>
      <c r="Q29" s="36" t="n">
        <v>0</v>
      </c>
      <c r="R29" s="36"/>
      <c r="S29" s="35" t="str">
        <f aca="false">IF(OR(Q29=0,Q29=""),"",Q29/B29)</f>
        <v/>
      </c>
      <c r="T29" s="36" t="n">
        <v>0</v>
      </c>
      <c r="U29" s="35" t="str">
        <f aca="false">IF(OR(Q29=0,Q29=""),"",Q29/T29)</f>
        <v/>
      </c>
      <c r="V29" s="36" t="n">
        <v>0</v>
      </c>
      <c r="W29" s="35" t="str">
        <f aca="false">IF(OR(Q29=0,Q29=""),"",Q29/V29)</f>
        <v/>
      </c>
      <c r="X29" s="35" t="n">
        <f aca="false">MAX(G29,T29)+M29</f>
        <v>90.6</v>
      </c>
      <c r="Y29" s="35" t="n">
        <f aca="false">MAX(I29,V29)+O29</f>
        <v>178.8</v>
      </c>
      <c r="Z29" s="38"/>
    </row>
    <row r="30" customFormat="false" ht="15.75" hidden="false" customHeight="true" outlineLevel="0" collapsed="false">
      <c r="A30" s="34" t="s">
        <v>288</v>
      </c>
      <c r="B30" s="35" t="n">
        <v>12</v>
      </c>
      <c r="C30" s="36" t="n">
        <v>12</v>
      </c>
      <c r="D30" s="36"/>
      <c r="E30" s="36" t="n">
        <v>0</v>
      </c>
      <c r="F30" s="36" t="n">
        <f aca="false">E30/B30</f>
        <v>0</v>
      </c>
      <c r="G30" s="36" t="n">
        <v>0</v>
      </c>
      <c r="H30" s="36" t="str">
        <f aca="false">IF(OR(E30=0,E30=""),"",E30/G30)</f>
        <v/>
      </c>
      <c r="I30" s="36" t="n">
        <v>0</v>
      </c>
      <c r="J30" s="36" t="str">
        <f aca="false">IF(OR(E30=0,E30=""),"",E30/I30)</f>
        <v/>
      </c>
      <c r="K30" s="37" t="n">
        <v>27090</v>
      </c>
      <c r="L30" s="36" t="n">
        <f aca="false">IF(OR(K30=0,K30=""),"",K30/B30)</f>
        <v>2257.5</v>
      </c>
      <c r="M30" s="37" t="n">
        <v>42</v>
      </c>
      <c r="N30" s="36" t="n">
        <f aca="false">IF(OR(K30=0,K30=""),"",K30/M30)</f>
        <v>645</v>
      </c>
      <c r="O30" s="37" t="n">
        <v>90</v>
      </c>
      <c r="P30" s="36" t="n">
        <f aca="false">IF(OR(K30=0,K30=""),"",K30/O30)</f>
        <v>301</v>
      </c>
      <c r="Q30" s="36" t="n">
        <v>0</v>
      </c>
      <c r="R30" s="36"/>
      <c r="S30" s="35" t="str">
        <f aca="false">IF(OR(Q30=0,Q30=""),"",Q30/B30)</f>
        <v/>
      </c>
      <c r="T30" s="36" t="n">
        <v>0</v>
      </c>
      <c r="U30" s="35" t="str">
        <f aca="false">IF(OR(Q30=0,Q30=""),"",Q30/T30)</f>
        <v/>
      </c>
      <c r="V30" s="36" t="n">
        <v>0</v>
      </c>
      <c r="W30" s="35" t="str">
        <f aca="false">IF(OR(Q30=0,Q30=""),"",Q30/V30)</f>
        <v/>
      </c>
      <c r="X30" s="35" t="n">
        <f aca="false">MAX(G30,T30)+M30</f>
        <v>42</v>
      </c>
      <c r="Y30" s="35" t="n">
        <f aca="false">MAX(I30,V30)+O30</f>
        <v>90</v>
      </c>
      <c r="Z30" s="38"/>
    </row>
    <row r="31" customFormat="false" ht="15.75" hidden="false" customHeight="true" outlineLevel="0" collapsed="false">
      <c r="A31" s="34" t="s">
        <v>289</v>
      </c>
      <c r="B31" s="35" t="n">
        <v>18</v>
      </c>
      <c r="C31" s="36" t="n">
        <v>18</v>
      </c>
      <c r="D31" s="36"/>
      <c r="E31" s="37" t="n">
        <v>82188</v>
      </c>
      <c r="F31" s="36" t="n">
        <f aca="false">E31/B31</f>
        <v>4566</v>
      </c>
      <c r="G31" s="37" t="n">
        <v>84</v>
      </c>
      <c r="H31" s="36" t="n">
        <f aca="false">IF(OR(E31=0,E31=""),"",E31/G31)</f>
        <v>978.428571428571</v>
      </c>
      <c r="I31" s="37" t="n">
        <v>168</v>
      </c>
      <c r="J31" s="36" t="n">
        <f aca="false">IF(OR(E31=0,E31=""),"",E31/I31)</f>
        <v>489.214285714286</v>
      </c>
      <c r="K31" s="36" t="n">
        <v>0</v>
      </c>
      <c r="L31" s="36" t="str">
        <f aca="false">IF(OR(K31=0,K31=""),"",K31/B31)</f>
        <v/>
      </c>
      <c r="M31" s="36" t="n">
        <v>0</v>
      </c>
      <c r="N31" s="36" t="str">
        <f aca="false">IF(OR(K31=0,K31=""),"",K31/M31)</f>
        <v/>
      </c>
      <c r="O31" s="36" t="n">
        <v>0</v>
      </c>
      <c r="P31" s="36" t="str">
        <f aca="false">IF(OR(K31=0,K31=""),"",K31/O31)</f>
        <v/>
      </c>
      <c r="Q31" s="36" t="n">
        <v>0</v>
      </c>
      <c r="R31" s="36"/>
      <c r="S31" s="35" t="str">
        <f aca="false">IF(OR(Q31=0,Q31=""),"",Q31/B31)</f>
        <v/>
      </c>
      <c r="T31" s="36" t="n">
        <v>0</v>
      </c>
      <c r="U31" s="35" t="str">
        <f aca="false">IF(OR(Q31=0,Q31=""),"",Q31/T31)</f>
        <v/>
      </c>
      <c r="V31" s="36" t="n">
        <v>0</v>
      </c>
      <c r="W31" s="35" t="str">
        <f aca="false">IF(OR(Q31=0,Q31=""),"",Q31/V31)</f>
        <v/>
      </c>
      <c r="X31" s="35" t="n">
        <f aca="false">MAX(G31,T31)+M31</f>
        <v>84</v>
      </c>
      <c r="Y31" s="35" t="n">
        <f aca="false">MAX(I31,V31)+O31</f>
        <v>168</v>
      </c>
      <c r="Z31" s="38"/>
    </row>
    <row r="32" customFormat="false" ht="15.75" hidden="false" customHeight="true" outlineLevel="0" collapsed="false">
      <c r="A32" s="39" t="s">
        <v>290</v>
      </c>
      <c r="B32" s="35" t="n">
        <v>20</v>
      </c>
      <c r="C32" s="36" t="n">
        <v>20</v>
      </c>
      <c r="D32" s="36"/>
      <c r="E32" s="36" t="n">
        <v>0</v>
      </c>
      <c r="F32" s="36" t="n">
        <f aca="false">E32/B32</f>
        <v>0</v>
      </c>
      <c r="G32" s="36" t="n">
        <v>0</v>
      </c>
      <c r="H32" s="36" t="str">
        <f aca="false">IF(OR(E32=0,E32=""),"",E32/G32)</f>
        <v/>
      </c>
      <c r="I32" s="36" t="n">
        <v>0</v>
      </c>
      <c r="J32" s="36" t="str">
        <f aca="false">IF(OR(E32=0,E32=""),"",E32/I32)</f>
        <v/>
      </c>
      <c r="K32" s="35" t="n">
        <v>50670</v>
      </c>
      <c r="L32" s="36" t="n">
        <f aca="false">IF(OR(K32=0,K32=""),"",K32/B32)</f>
        <v>2533.5</v>
      </c>
      <c r="M32" s="35" t="n">
        <v>66</v>
      </c>
      <c r="N32" s="36" t="n">
        <f aca="false">IF(OR(K32=0,K32=""),"",K32/M32)</f>
        <v>767.727272727273</v>
      </c>
      <c r="O32" s="35" t="n">
        <v>171</v>
      </c>
      <c r="P32" s="36" t="n">
        <f aca="false">IF(OR(K32=0,K32=""),"",K32/O32)</f>
        <v>296.315789473684</v>
      </c>
      <c r="Q32" s="36" t="n">
        <v>0</v>
      </c>
      <c r="R32" s="36"/>
      <c r="S32" s="35" t="str">
        <f aca="false">IF(OR(Q32=0,Q32=""),"",Q32/B32)</f>
        <v/>
      </c>
      <c r="T32" s="36" t="n">
        <v>0</v>
      </c>
      <c r="U32" s="35" t="str">
        <f aca="false">IF(OR(Q32=0,Q32=""),"",Q32/T32)</f>
        <v/>
      </c>
      <c r="V32" s="36" t="n">
        <v>0</v>
      </c>
      <c r="W32" s="35" t="str">
        <f aca="false">IF(OR(Q32=0,Q32=""),"",Q32/V32)</f>
        <v/>
      </c>
      <c r="X32" s="35" t="n">
        <f aca="false">MAX(G32,T32)+M32</f>
        <v>66</v>
      </c>
      <c r="Y32" s="35" t="n">
        <f aca="false">MAX(I32,V32)+O32</f>
        <v>171</v>
      </c>
      <c r="Z32" s="43"/>
    </row>
    <row r="33" customFormat="false" ht="15.75" hidden="false" customHeight="true" outlineLevel="0" collapsed="false">
      <c r="A33" s="39" t="s">
        <v>291</v>
      </c>
      <c r="B33" s="35" t="n">
        <v>28</v>
      </c>
      <c r="C33" s="36" t="n">
        <v>28</v>
      </c>
      <c r="D33" s="36"/>
      <c r="E33" s="35" t="n">
        <v>135810</v>
      </c>
      <c r="F33" s="36" t="n">
        <f aca="false">E33/B33</f>
        <v>4850.35714285714</v>
      </c>
      <c r="G33" s="35" t="n">
        <v>150</v>
      </c>
      <c r="H33" s="36" t="n">
        <f aca="false">IF(OR(E33=0,E33=""),"",E33/G33)</f>
        <v>905.4</v>
      </c>
      <c r="I33" s="35" t="n">
        <v>288</v>
      </c>
      <c r="J33" s="36" t="n">
        <f aca="false">IF(OR(E33=0,E33=""),"",E33/I33)</f>
        <v>471.5625</v>
      </c>
      <c r="K33" s="36" t="n">
        <v>0</v>
      </c>
      <c r="L33" s="36" t="str">
        <f aca="false">IF(OR(K33=0,K33=""),"",K33/B33)</f>
        <v/>
      </c>
      <c r="M33" s="36" t="n">
        <v>0</v>
      </c>
      <c r="N33" s="36" t="str">
        <f aca="false">IF(OR(K33=0,K33=""),"",K33/M33)</f>
        <v/>
      </c>
      <c r="O33" s="36" t="n">
        <v>0</v>
      </c>
      <c r="P33" s="36" t="str">
        <f aca="false">IF(OR(K33=0,K33=""),"",K33/O33)</f>
        <v/>
      </c>
      <c r="Q33" s="36" t="n">
        <v>0</v>
      </c>
      <c r="R33" s="36"/>
      <c r="S33" s="35" t="str">
        <f aca="false">IF(OR(Q33=0,Q33=""),"",Q33/B33)</f>
        <v/>
      </c>
      <c r="T33" s="36" t="n">
        <v>0</v>
      </c>
      <c r="U33" s="35" t="str">
        <f aca="false">IF(OR(Q33=0,Q33=""),"",Q33/T33)</f>
        <v/>
      </c>
      <c r="V33" s="36" t="n">
        <v>0</v>
      </c>
      <c r="W33" s="35" t="str">
        <f aca="false">IF(OR(Q33=0,Q33=""),"",Q33/V33)</f>
        <v/>
      </c>
      <c r="X33" s="35" t="n">
        <f aca="false">MAX(G33,T33)+M33</f>
        <v>150</v>
      </c>
      <c r="Y33" s="35" t="n">
        <f aca="false">MAX(I33,V33)+O33</f>
        <v>288</v>
      </c>
      <c r="Z33" s="43"/>
    </row>
    <row r="34" customFormat="false" ht="15.75" hidden="false" customHeight="true" outlineLevel="0" collapsed="false">
      <c r="A34" s="34" t="s">
        <v>292</v>
      </c>
      <c r="B34" s="35" t="n">
        <v>32</v>
      </c>
      <c r="C34" s="36" t="n">
        <v>32</v>
      </c>
      <c r="D34" s="36"/>
      <c r="E34" s="36" t="n">
        <v>0</v>
      </c>
      <c r="F34" s="36" t="n">
        <f aca="false">E34/B34</f>
        <v>0</v>
      </c>
      <c r="G34" s="36" t="n">
        <v>0</v>
      </c>
      <c r="H34" s="36" t="str">
        <f aca="false">IF(OR(E34=0,E34=""),"",E34/G34)</f>
        <v/>
      </c>
      <c r="I34" s="36" t="n">
        <v>0</v>
      </c>
      <c r="J34" s="36" t="str">
        <f aca="false">IF(OR(E34=0,E34=""),"",E34/I34)</f>
        <v/>
      </c>
      <c r="K34" s="37" t="n">
        <v>92520</v>
      </c>
      <c r="L34" s="36" t="n">
        <f aca="false">IF(OR(K34=0,K34=""),"",K34/B34)</f>
        <v>2891.25</v>
      </c>
      <c r="M34" s="37" t="n">
        <v>120</v>
      </c>
      <c r="N34" s="36" t="n">
        <f aca="false">IF(OR(K34=0,K34=""),"",K34/M34)</f>
        <v>771</v>
      </c>
      <c r="O34" s="37" t="n">
        <v>306</v>
      </c>
      <c r="P34" s="36" t="n">
        <f aca="false">IF(OR(K34=0,K34=""),"",K34/O34)</f>
        <v>302.352941176471</v>
      </c>
      <c r="Q34" s="36" t="n">
        <v>0</v>
      </c>
      <c r="R34" s="36"/>
      <c r="S34" s="35" t="str">
        <f aca="false">IF(OR(Q34=0,Q34=""),"",Q34/B34)</f>
        <v/>
      </c>
      <c r="T34" s="36" t="n">
        <v>0</v>
      </c>
      <c r="U34" s="35" t="str">
        <f aca="false">IF(OR(Q34=0,Q34=""),"",Q34/T34)</f>
        <v/>
      </c>
      <c r="V34" s="36" t="n">
        <v>0</v>
      </c>
      <c r="W34" s="35" t="str">
        <f aca="false">IF(OR(Q34=0,Q34=""),"",Q34/V34)</f>
        <v/>
      </c>
      <c r="X34" s="35" t="n">
        <f aca="false">MAX(G34,T34)+M34</f>
        <v>120</v>
      </c>
      <c r="Y34" s="35" t="n">
        <f aca="false">MAX(I34,V34)+O34</f>
        <v>306</v>
      </c>
      <c r="Z34" s="42"/>
    </row>
    <row r="35" customFormat="false" ht="15.75" hidden="false" customHeight="true" outlineLevel="0" collapsed="false">
      <c r="A35" s="34" t="s">
        <v>293</v>
      </c>
      <c r="B35" s="35" t="n">
        <v>44</v>
      </c>
      <c r="C35" s="36" t="n">
        <v>44</v>
      </c>
      <c r="D35" s="36"/>
      <c r="E35" s="37" t="n">
        <v>224910</v>
      </c>
      <c r="F35" s="36" t="n">
        <f aca="false">E35/B35</f>
        <v>5111.59090909091</v>
      </c>
      <c r="G35" s="37" t="n">
        <v>240</v>
      </c>
      <c r="H35" s="36" t="n">
        <f aca="false">IF(OR(E35=0,E35=""),"",E35/G35)</f>
        <v>937.125</v>
      </c>
      <c r="I35" s="37" t="n">
        <v>492</v>
      </c>
      <c r="J35" s="36" t="n">
        <f aca="false">IF(OR(E35=0,E35=""),"",E35/I35)</f>
        <v>457.134146341463</v>
      </c>
      <c r="K35" s="36" t="n">
        <v>0</v>
      </c>
      <c r="L35" s="36" t="str">
        <f aca="false">IF(OR(K35=0,K35=""),"",K35/B35)</f>
        <v/>
      </c>
      <c r="M35" s="36" t="n">
        <v>0</v>
      </c>
      <c r="N35" s="36" t="str">
        <f aca="false">IF(OR(K35=0,K35=""),"",K35/M35)</f>
        <v/>
      </c>
      <c r="O35" s="36" t="n">
        <v>0</v>
      </c>
      <c r="P35" s="36" t="str">
        <f aca="false">IF(OR(K35=0,K35=""),"",K35/O35)</f>
        <v/>
      </c>
      <c r="Q35" s="36" t="n">
        <v>0</v>
      </c>
      <c r="R35" s="36"/>
      <c r="S35" s="35" t="str">
        <f aca="false">IF(OR(Q35=0,Q35=""),"",Q35/B35)</f>
        <v/>
      </c>
      <c r="T35" s="36" t="n">
        <v>0</v>
      </c>
      <c r="U35" s="35" t="str">
        <f aca="false">IF(OR(Q35=0,Q35=""),"",Q35/T35)</f>
        <v/>
      </c>
      <c r="V35" s="36" t="n">
        <v>0</v>
      </c>
      <c r="W35" s="35" t="str">
        <f aca="false">IF(OR(Q35=0,Q35=""),"",Q35/V35)</f>
        <v/>
      </c>
      <c r="X35" s="35" t="n">
        <f aca="false">MAX(G35,T35)+M35</f>
        <v>240</v>
      </c>
      <c r="Y35" s="35" t="n">
        <f aca="false">MAX(I35,V35)+O35</f>
        <v>492</v>
      </c>
      <c r="Z35" s="42"/>
    </row>
    <row r="36" customFormat="false" ht="15.75" hidden="false" customHeight="true" outlineLevel="0" collapsed="false">
      <c r="A36" s="39" t="s">
        <v>294</v>
      </c>
      <c r="B36" s="35" t="n">
        <v>49</v>
      </c>
      <c r="C36" s="36" t="n">
        <v>49</v>
      </c>
      <c r="D36" s="36"/>
      <c r="E36" s="36" t="n">
        <v>0</v>
      </c>
      <c r="F36" s="36" t="n">
        <f aca="false">E36/B36</f>
        <v>0</v>
      </c>
      <c r="G36" s="36" t="n">
        <v>0</v>
      </c>
      <c r="H36" s="36" t="str">
        <f aca="false">IF(OR(E36=0,E36=""),"",E36/G36)</f>
        <v/>
      </c>
      <c r="I36" s="36" t="n">
        <v>0</v>
      </c>
      <c r="J36" s="36" t="str">
        <f aca="false">IF(OR(E36=0,E36=""),"",E36/I36)</f>
        <v/>
      </c>
      <c r="K36" s="35" t="n">
        <v>154260</v>
      </c>
      <c r="L36" s="36" t="n">
        <f aca="false">IF(OR(K36=0,K36=""),"",K36/B36)</f>
        <v>3148.16326530612</v>
      </c>
      <c r="M36" s="35" t="n">
        <v>192</v>
      </c>
      <c r="N36" s="36" t="n">
        <f aca="false">IF(OR(K36=0,K36=""),"",K36/M36)</f>
        <v>803.4375</v>
      </c>
      <c r="O36" s="35" t="n">
        <v>492</v>
      </c>
      <c r="P36" s="36" t="n">
        <f aca="false">IF(OR(K36=0,K36=""),"",K36/O36)</f>
        <v>313.536585365854</v>
      </c>
      <c r="Q36" s="36" t="n">
        <v>0</v>
      </c>
      <c r="R36" s="36"/>
      <c r="S36" s="35" t="str">
        <f aca="false">IF(OR(Q36=0,Q36=""),"",Q36/B36)</f>
        <v/>
      </c>
      <c r="T36" s="36" t="n">
        <v>0</v>
      </c>
      <c r="U36" s="35" t="str">
        <f aca="false">IF(OR(Q36=0,Q36=""),"",Q36/T36)</f>
        <v/>
      </c>
      <c r="V36" s="36" t="n">
        <v>0</v>
      </c>
      <c r="W36" s="35" t="str">
        <f aca="false">IF(OR(Q36=0,Q36=""),"",Q36/V36)</f>
        <v/>
      </c>
      <c r="X36" s="35" t="n">
        <f aca="false">MAX(G36,T36)+M36</f>
        <v>192</v>
      </c>
      <c r="Y36" s="35" t="n">
        <f aca="false">MAX(I36,V36)+O36</f>
        <v>492</v>
      </c>
      <c r="Z36" s="43"/>
    </row>
    <row r="37" customFormat="false" ht="15.75" hidden="false" customHeight="true" outlineLevel="0" collapsed="false">
      <c r="A37" s="39" t="s">
        <v>295</v>
      </c>
      <c r="B37" s="35" t="n">
        <v>63</v>
      </c>
      <c r="C37" s="36" t="n">
        <v>63</v>
      </c>
      <c r="D37" s="36"/>
      <c r="E37" s="35" t="n">
        <v>339120</v>
      </c>
      <c r="F37" s="36" t="n">
        <f aca="false">E37/B37</f>
        <v>5382.85714285714</v>
      </c>
      <c r="G37" s="35" t="n">
        <v>366</v>
      </c>
      <c r="H37" s="36" t="n">
        <f aca="false">IF(OR(E37=0,E37=""),"",E37/G37)</f>
        <v>926.55737704918</v>
      </c>
      <c r="I37" s="35" t="n">
        <v>762</v>
      </c>
      <c r="J37" s="36" t="n">
        <f aca="false">IF(OR(E37=0,E37=""),"",E37/I37)</f>
        <v>445.03937007874</v>
      </c>
      <c r="K37" s="36" t="n">
        <v>0</v>
      </c>
      <c r="L37" s="36" t="str">
        <f aca="false">IF(OR(K37=0,K37=""),"",K37/B37)</f>
        <v/>
      </c>
      <c r="M37" s="36" t="n">
        <v>0</v>
      </c>
      <c r="N37" s="36" t="str">
        <f aca="false">IF(OR(K37=0,K37=""),"",K37/M37)</f>
        <v/>
      </c>
      <c r="O37" s="36" t="n">
        <v>0</v>
      </c>
      <c r="P37" s="36" t="str">
        <f aca="false">IF(OR(K37=0,K37=""),"",K37/O37)</f>
        <v/>
      </c>
      <c r="Q37" s="36" t="n">
        <v>0</v>
      </c>
      <c r="R37" s="36"/>
      <c r="S37" s="35" t="str">
        <f aca="false">IF(OR(Q37=0,Q37=""),"",Q37/B37)</f>
        <v/>
      </c>
      <c r="T37" s="36" t="n">
        <v>0</v>
      </c>
      <c r="U37" s="35" t="str">
        <f aca="false">IF(OR(Q37=0,Q37=""),"",Q37/T37)</f>
        <v/>
      </c>
      <c r="V37" s="36" t="n">
        <v>0</v>
      </c>
      <c r="W37" s="35" t="str">
        <f aca="false">IF(OR(Q37=0,Q37=""),"",Q37/V37)</f>
        <v/>
      </c>
      <c r="X37" s="35" t="n">
        <f aca="false">MAX(G37,T37)+M37</f>
        <v>366</v>
      </c>
      <c r="Y37" s="35" t="n">
        <f aca="false">MAX(I37,V37)+O37</f>
        <v>762</v>
      </c>
      <c r="Z37" s="43"/>
    </row>
    <row r="38" customFormat="false" ht="15.75" hidden="false" customHeight="true" outlineLevel="0" collapsed="false">
      <c r="A38" s="34" t="s">
        <v>296</v>
      </c>
      <c r="B38" s="35" t="n">
        <v>76</v>
      </c>
      <c r="C38" s="36" t="n">
        <v>76</v>
      </c>
      <c r="D38" s="36"/>
      <c r="E38" s="36" t="n">
        <v>0</v>
      </c>
      <c r="F38" s="36" t="n">
        <f aca="false">E38/B38</f>
        <v>0</v>
      </c>
      <c r="G38" s="36" t="n">
        <v>0</v>
      </c>
      <c r="H38" s="36" t="str">
        <f aca="false">IF(OR(E38=0,E38=""),"",E38/G38)</f>
        <v/>
      </c>
      <c r="I38" s="36" t="n">
        <v>0</v>
      </c>
      <c r="J38" s="36" t="str">
        <f aca="false">IF(OR(E38=0,E38=""),"",E38/I38)</f>
        <v/>
      </c>
      <c r="K38" s="37" t="n">
        <v>267030</v>
      </c>
      <c r="L38" s="36" t="n">
        <f aca="false">IF(OR(K38=0,K38=""),"",K38/B38)</f>
        <v>3513.55263157895</v>
      </c>
      <c r="M38" s="37" t="n">
        <v>312</v>
      </c>
      <c r="N38" s="36" t="n">
        <f aca="false">IF(OR(K38=0,K38=""),"",K38/M38)</f>
        <v>855.865384615385</v>
      </c>
      <c r="O38" s="37" t="n">
        <v>828</v>
      </c>
      <c r="P38" s="36" t="n">
        <f aca="false">IF(OR(K38=0,K38=""),"",K38/O38)</f>
        <v>322.5</v>
      </c>
      <c r="Q38" s="36" t="n">
        <v>0</v>
      </c>
      <c r="R38" s="36"/>
      <c r="S38" s="35" t="str">
        <f aca="false">IF(OR(Q38=0,Q38=""),"",Q38/B38)</f>
        <v/>
      </c>
      <c r="T38" s="36" t="n">
        <v>0</v>
      </c>
      <c r="U38" s="35" t="str">
        <f aca="false">IF(OR(Q38=0,Q38=""),"",Q38/T38)</f>
        <v/>
      </c>
      <c r="V38" s="36" t="n">
        <v>0</v>
      </c>
      <c r="W38" s="35" t="str">
        <f aca="false">IF(OR(Q38=0,Q38=""),"",Q38/V38)</f>
        <v/>
      </c>
      <c r="X38" s="35" t="n">
        <f aca="false">MAX(G38,T38)+M38</f>
        <v>312</v>
      </c>
      <c r="Y38" s="35" t="n">
        <f aca="false">MAX(I38,V38)+O38</f>
        <v>828</v>
      </c>
      <c r="Z38" s="38"/>
    </row>
    <row r="39" customFormat="false" ht="15.75" hidden="false" customHeight="true" outlineLevel="0" collapsed="false">
      <c r="A39" s="34" t="s">
        <v>297</v>
      </c>
      <c r="B39" s="35" t="n">
        <v>104</v>
      </c>
      <c r="C39" s="36" t="n">
        <v>104</v>
      </c>
      <c r="D39" s="36"/>
      <c r="E39" s="37" t="n">
        <v>587790</v>
      </c>
      <c r="F39" s="36" t="n">
        <f aca="false">E39/B39</f>
        <v>5651.82692307692</v>
      </c>
      <c r="G39" s="37" t="n">
        <v>624</v>
      </c>
      <c r="H39" s="36" t="n">
        <f aca="false">IF(OR(E39=0,E39=""),"",E39/G39)</f>
        <v>941.971153846154</v>
      </c>
      <c r="I39" s="37" t="n">
        <v>1356</v>
      </c>
      <c r="J39" s="36" t="n">
        <f aca="false">IF(OR(E39=0,E39=""),"",E39/I39)</f>
        <v>433.473451327434</v>
      </c>
      <c r="K39" s="36" t="n">
        <v>0</v>
      </c>
      <c r="L39" s="36" t="str">
        <f aca="false">IF(OR(K39=0,K39=""),"",K39/B39)</f>
        <v/>
      </c>
      <c r="M39" s="36" t="n">
        <v>0</v>
      </c>
      <c r="N39" s="36" t="str">
        <f aca="false">IF(OR(K39=0,K39=""),"",K39/M39)</f>
        <v/>
      </c>
      <c r="O39" s="36" t="n">
        <v>0</v>
      </c>
      <c r="P39" s="36" t="str">
        <f aca="false">IF(OR(K39=0,K39=""),"",K39/O39)</f>
        <v/>
      </c>
      <c r="Q39" s="36" t="n">
        <v>0</v>
      </c>
      <c r="R39" s="36"/>
      <c r="S39" s="35" t="str">
        <f aca="false">IF(OR(Q39=0,Q39=""),"",Q39/B39)</f>
        <v/>
      </c>
      <c r="T39" s="36" t="n">
        <v>0</v>
      </c>
      <c r="U39" s="35" t="str">
        <f aca="false">IF(OR(Q39=0,Q39=""),"",Q39/T39)</f>
        <v/>
      </c>
      <c r="V39" s="36" t="n">
        <v>0</v>
      </c>
      <c r="W39" s="35" t="str">
        <f aca="false">IF(OR(Q39=0,Q39=""),"",Q39/V39)</f>
        <v/>
      </c>
      <c r="X39" s="35" t="n">
        <f aca="false">MAX(G39,T39)+M39</f>
        <v>624</v>
      </c>
      <c r="Y39" s="35" t="n">
        <f aca="false">MAX(I39,V39)+O39</f>
        <v>1356</v>
      </c>
      <c r="Z39" s="41" t="s">
        <v>298</v>
      </c>
    </row>
    <row r="40" customFormat="false" ht="15.75" hidden="false" customHeight="true" outlineLevel="0" collapsed="false">
      <c r="A40" s="34" t="s">
        <v>299</v>
      </c>
      <c r="B40" s="35" t="n">
        <v>32</v>
      </c>
      <c r="C40" s="36" t="n">
        <v>32</v>
      </c>
      <c r="D40" s="36"/>
      <c r="E40" s="36" t="n">
        <v>0</v>
      </c>
      <c r="F40" s="36" t="n">
        <f aca="false">E40/B40</f>
        <v>0</v>
      </c>
      <c r="G40" s="36" t="n">
        <v>0</v>
      </c>
      <c r="H40" s="36" t="str">
        <f aca="false">IF(OR(E40=0,E40=""),"",E40/G40)</f>
        <v/>
      </c>
      <c r="I40" s="36" t="n">
        <v>0</v>
      </c>
      <c r="J40" s="36" t="str">
        <f aca="false">IF(OR(E40=0,E40=""),"",E40/I40)</f>
        <v/>
      </c>
      <c r="K40" s="37" t="n">
        <v>81450</v>
      </c>
      <c r="L40" s="36" t="n">
        <f aca="false">IF(OR(K40=0,K40=""),"",K40/B40)</f>
        <v>2545.3125</v>
      </c>
      <c r="M40" s="37" t="n">
        <v>138</v>
      </c>
      <c r="N40" s="36" t="n">
        <f aca="false">IF(OR(K40=0,K40=""),"",K40/M40)</f>
        <v>590.217391304348</v>
      </c>
      <c r="O40" s="37" t="n">
        <v>102</v>
      </c>
      <c r="P40" s="36" t="n">
        <f aca="false">IF(OR(K40=0,K40=""),"",K40/O40)</f>
        <v>798.529411764706</v>
      </c>
      <c r="Q40" s="36" t="n">
        <v>0</v>
      </c>
      <c r="R40" s="36"/>
      <c r="S40" s="35" t="str">
        <f aca="false">IF(OR(Q40=0,Q40=""),"",Q40/B40)</f>
        <v/>
      </c>
      <c r="T40" s="36" t="n">
        <v>0</v>
      </c>
      <c r="U40" s="35" t="str">
        <f aca="false">IF(OR(Q40=0,Q40=""),"",Q40/T40)</f>
        <v/>
      </c>
      <c r="V40" s="36" t="n">
        <v>0</v>
      </c>
      <c r="W40" s="35" t="str">
        <f aca="false">IF(OR(Q40=0,Q40=""),"",Q40/V40)</f>
        <v/>
      </c>
      <c r="X40" s="35" t="n">
        <f aca="false">MAX(G40,T40)+M40</f>
        <v>138</v>
      </c>
      <c r="Y40" s="35" t="n">
        <f aca="false">MAX(I40,V40)+O40</f>
        <v>102</v>
      </c>
      <c r="Z40" s="41" t="s">
        <v>300</v>
      </c>
    </row>
    <row r="41" customFormat="false" ht="15.75" hidden="false" customHeight="true" outlineLevel="0" collapsed="false">
      <c r="A41" s="34" t="s">
        <v>301</v>
      </c>
      <c r="B41" s="35" t="n">
        <v>40</v>
      </c>
      <c r="C41" s="36" t="n">
        <v>40</v>
      </c>
      <c r="D41" s="36"/>
      <c r="E41" s="37" t="n">
        <v>172800</v>
      </c>
      <c r="F41" s="36" t="n">
        <f aca="false">E41/B41</f>
        <v>4320</v>
      </c>
      <c r="G41" s="37" t="n">
        <v>162</v>
      </c>
      <c r="H41" s="36" t="n">
        <f aca="false">IF(OR(E41=0,E41=""),"",E41/G41)</f>
        <v>1066.66666666667</v>
      </c>
      <c r="I41" s="37" t="n">
        <v>108</v>
      </c>
      <c r="J41" s="36" t="n">
        <f aca="false">IF(OR(E41=0,E41=""),"",E41/I41)</f>
        <v>1600</v>
      </c>
      <c r="K41" s="36" t="n">
        <v>0</v>
      </c>
      <c r="L41" s="36" t="str">
        <f aca="false">IF(OR(K41=0,K41=""),"",K41/B41)</f>
        <v/>
      </c>
      <c r="M41" s="36" t="n">
        <v>0</v>
      </c>
      <c r="N41" s="36" t="str">
        <f aca="false">IF(OR(K41=0,K41=""),"",K41/M41)</f>
        <v/>
      </c>
      <c r="O41" s="36" t="n">
        <v>0</v>
      </c>
      <c r="P41" s="36" t="str">
        <f aca="false">IF(OR(K41=0,K41=""),"",K41/O41)</f>
        <v/>
      </c>
      <c r="Q41" s="36" t="n">
        <v>0</v>
      </c>
      <c r="R41" s="36"/>
      <c r="S41" s="35" t="str">
        <f aca="false">IF(OR(Q41=0,Q41=""),"",Q41/B41)</f>
        <v/>
      </c>
      <c r="T41" s="36" t="n">
        <v>0</v>
      </c>
      <c r="U41" s="35" t="str">
        <f aca="false">IF(OR(Q41=0,Q41=""),"",Q41/T41)</f>
        <v/>
      </c>
      <c r="V41" s="36" t="n">
        <v>0</v>
      </c>
      <c r="W41" s="35" t="str">
        <f aca="false">IF(OR(Q41=0,Q41=""),"",Q41/V41)</f>
        <v/>
      </c>
      <c r="X41" s="35" t="n">
        <f aca="false">MAX(G41,T41)+M41</f>
        <v>162</v>
      </c>
      <c r="Y41" s="35" t="n">
        <f aca="false">MAX(I41,V41)+O41</f>
        <v>108</v>
      </c>
      <c r="Z41" s="38"/>
    </row>
    <row r="42" customFormat="false" ht="15.75" hidden="false" customHeight="true" outlineLevel="0" collapsed="false">
      <c r="A42" s="34" t="s">
        <v>302</v>
      </c>
      <c r="B42" s="35" t="n">
        <v>28</v>
      </c>
      <c r="C42" s="36" t="n">
        <v>28</v>
      </c>
      <c r="D42" s="36"/>
      <c r="E42" s="37" t="n">
        <v>60480</v>
      </c>
      <c r="F42" s="36" t="n">
        <f aca="false">E42/B42</f>
        <v>2160</v>
      </c>
      <c r="G42" s="37" t="n">
        <v>54</v>
      </c>
      <c r="H42" s="36" t="n">
        <f aca="false">IF(OR(E42=0,E42=""),"",E42/G42)</f>
        <v>1120</v>
      </c>
      <c r="I42" s="37" t="n">
        <v>48</v>
      </c>
      <c r="J42" s="36" t="n">
        <f aca="false">IF(OR(E42=0,E42=""),"",E42/I42)</f>
        <v>1260</v>
      </c>
      <c r="K42" s="37" t="n">
        <v>24300</v>
      </c>
      <c r="L42" s="36" t="n">
        <f aca="false">IF(OR(K42=0,K42=""),"",K42/B42)</f>
        <v>867.857142857143</v>
      </c>
      <c r="M42" s="37" t="n">
        <v>14.4</v>
      </c>
      <c r="N42" s="36" t="n">
        <f aca="false">IF(OR(K42=0,K42=""),"",K42/M42)</f>
        <v>1687.5</v>
      </c>
      <c r="O42" s="37" t="n">
        <v>24</v>
      </c>
      <c r="P42" s="36" t="n">
        <f aca="false">IF(OR(K42=0,K42=""),"",K42/O42)</f>
        <v>1012.5</v>
      </c>
      <c r="Q42" s="36" t="n">
        <v>0</v>
      </c>
      <c r="R42" s="36"/>
      <c r="S42" s="35" t="str">
        <f aca="false">IF(OR(Q42=0,Q42=""),"",Q42/B42)</f>
        <v/>
      </c>
      <c r="T42" s="36" t="n">
        <v>0</v>
      </c>
      <c r="U42" s="35" t="str">
        <f aca="false">IF(OR(Q42=0,Q42=""),"",Q42/T42)</f>
        <v/>
      </c>
      <c r="V42" s="36" t="n">
        <v>0</v>
      </c>
      <c r="W42" s="35" t="str">
        <f aca="false">IF(OR(Q42=0,Q42=""),"",Q42/V42)</f>
        <v/>
      </c>
      <c r="X42" s="35" t="n">
        <f aca="false">MAX(G42,T42)+M42</f>
        <v>68.4</v>
      </c>
      <c r="Y42" s="35" t="n">
        <f aca="false">MAX(I42,V42)+O42</f>
        <v>72</v>
      </c>
      <c r="Z42" s="38"/>
    </row>
    <row r="43" customFormat="false" ht="15.75" hidden="false" customHeight="true" outlineLevel="0" collapsed="false">
      <c r="A43" s="39" t="s">
        <v>303</v>
      </c>
      <c r="B43" s="35" t="n">
        <v>42</v>
      </c>
      <c r="C43" s="36" t="n">
        <v>42</v>
      </c>
      <c r="D43" s="36"/>
      <c r="E43" s="36" t="n">
        <v>0</v>
      </c>
      <c r="F43" s="36" t="n">
        <f aca="false">E43/B43</f>
        <v>0</v>
      </c>
      <c r="G43" s="36" t="n">
        <v>0</v>
      </c>
      <c r="H43" s="36" t="str">
        <f aca="false">IF(OR(E43=0,E43=""),"",E43/G43)</f>
        <v/>
      </c>
      <c r="I43" s="36" t="n">
        <v>0</v>
      </c>
      <c r="J43" s="36" t="str">
        <f aca="false">IF(OR(E43=0,E43=""),"",E43/I43)</f>
        <v/>
      </c>
      <c r="K43" s="35" t="n">
        <v>111000</v>
      </c>
      <c r="L43" s="36" t="n">
        <f aca="false">IF(OR(K43=0,K43=""),"",K43/B43)</f>
        <v>2642.85714285714</v>
      </c>
      <c r="M43" s="35" t="n">
        <v>189</v>
      </c>
      <c r="N43" s="36" t="n">
        <f aca="false">IF(OR(K43=0,K43=""),"",K43/M43)</f>
        <v>587.301587301587</v>
      </c>
      <c r="O43" s="35" t="n">
        <v>152.4</v>
      </c>
      <c r="P43" s="36" t="n">
        <f aca="false">IF(OR(K43=0,K43=""),"",K43/O43)</f>
        <v>728.346456692913</v>
      </c>
      <c r="Q43" s="36" t="n">
        <v>0</v>
      </c>
      <c r="R43" s="36"/>
      <c r="S43" s="35" t="str">
        <f aca="false">IF(OR(Q43=0,Q43=""),"",Q43/B43)</f>
        <v/>
      </c>
      <c r="T43" s="36" t="n">
        <v>0</v>
      </c>
      <c r="U43" s="35" t="str">
        <f aca="false">IF(OR(Q43=0,Q43=""),"",Q43/T43)</f>
        <v/>
      </c>
      <c r="V43" s="36" t="n">
        <v>0</v>
      </c>
      <c r="W43" s="35" t="str">
        <f aca="false">IF(OR(Q43=0,Q43=""),"",Q43/V43)</f>
        <v/>
      </c>
      <c r="X43" s="35" t="n">
        <f aca="false">MAX(G43,T43)+M43</f>
        <v>189</v>
      </c>
      <c r="Y43" s="35" t="n">
        <f aca="false">MAX(I43,V43)+O43</f>
        <v>152.4</v>
      </c>
      <c r="Z43" s="40"/>
    </row>
    <row r="44" customFormat="false" ht="15.75" hidden="false" customHeight="true" outlineLevel="0" collapsed="false">
      <c r="A44" s="39" t="s">
        <v>304</v>
      </c>
      <c r="B44" s="35" t="n">
        <v>22</v>
      </c>
      <c r="C44" s="36" t="n">
        <v>22</v>
      </c>
      <c r="D44" s="36"/>
      <c r="E44" s="35" t="n">
        <v>100872</v>
      </c>
      <c r="F44" s="36" t="n">
        <f aca="false">E44/B44</f>
        <v>4585.09090909091</v>
      </c>
      <c r="G44" s="35" t="n">
        <v>108</v>
      </c>
      <c r="H44" s="36" t="n">
        <f aca="false">IF(OR(E44=0,E44=""),"",E44/G44)</f>
        <v>934</v>
      </c>
      <c r="I44" s="35" t="n">
        <v>210</v>
      </c>
      <c r="J44" s="36" t="n">
        <f aca="false">IF(OR(E44=0,E44=""),"",E44/I44)</f>
        <v>480.342857142857</v>
      </c>
      <c r="K44" s="36" t="n">
        <v>0</v>
      </c>
      <c r="L44" s="36" t="str">
        <f aca="false">IF(OR(K44=0,K44=""),"",K44/B44)</f>
        <v/>
      </c>
      <c r="M44" s="36" t="n">
        <v>0</v>
      </c>
      <c r="N44" s="36" t="str">
        <f aca="false">IF(OR(K44=0,K44=""),"",K44/M44)</f>
        <v/>
      </c>
      <c r="O44" s="36" t="n">
        <v>0</v>
      </c>
      <c r="P44" s="36" t="str">
        <f aca="false">IF(OR(K44=0,K44=""),"",K44/O44)</f>
        <v/>
      </c>
      <c r="Q44" s="36" t="n">
        <v>0</v>
      </c>
      <c r="R44" s="36"/>
      <c r="S44" s="35" t="str">
        <f aca="false">IF(OR(Q44=0,Q44=""),"",Q44/B44)</f>
        <v/>
      </c>
      <c r="T44" s="36" t="n">
        <v>0</v>
      </c>
      <c r="U44" s="35" t="str">
        <f aca="false">IF(OR(Q44=0,Q44=""),"",Q44/T44)</f>
        <v/>
      </c>
      <c r="V44" s="36" t="n">
        <v>0</v>
      </c>
      <c r="W44" s="35" t="str">
        <f aca="false">IF(OR(Q44=0,Q44=""),"",Q44/V44)</f>
        <v/>
      </c>
      <c r="X44" s="35" t="n">
        <f aca="false">MAX(G44,T44)+M44</f>
        <v>108</v>
      </c>
      <c r="Y44" s="35" t="n">
        <f aca="false">MAX(I44,V44)+O44</f>
        <v>210</v>
      </c>
      <c r="Z44" s="43"/>
    </row>
    <row r="45" customFormat="false" ht="15.75" hidden="false" customHeight="true" outlineLevel="0" collapsed="false">
      <c r="A45" s="39" t="s">
        <v>305</v>
      </c>
      <c r="B45" s="35" t="n">
        <v>16</v>
      </c>
      <c r="C45" s="36" t="n">
        <v>16</v>
      </c>
      <c r="D45" s="36"/>
      <c r="E45" s="36" t="n">
        <v>0</v>
      </c>
      <c r="F45" s="36" t="n">
        <f aca="false">E45/B45</f>
        <v>0</v>
      </c>
      <c r="G45" s="36" t="n">
        <v>0</v>
      </c>
      <c r="H45" s="36" t="str">
        <f aca="false">IF(OR(E45=0,E45=""),"",E45/G45)</f>
        <v/>
      </c>
      <c r="I45" s="36" t="n">
        <v>0</v>
      </c>
      <c r="J45" s="36" t="str">
        <f aca="false">IF(OR(E45=0,E45=""),"",E45/I45)</f>
        <v/>
      </c>
      <c r="K45" s="35" t="n">
        <v>36180</v>
      </c>
      <c r="L45" s="36" t="n">
        <f aca="false">IF(OR(K45=0,K45=""),"",K45/B45)</f>
        <v>2261.25</v>
      </c>
      <c r="M45" s="35" t="n">
        <v>54</v>
      </c>
      <c r="N45" s="36" t="n">
        <f aca="false">IF(OR(K45=0,K45=""),"",K45/M45)</f>
        <v>670</v>
      </c>
      <c r="O45" s="35" t="n">
        <v>132</v>
      </c>
      <c r="P45" s="36" t="n">
        <f aca="false">IF(OR(K45=0,K45=""),"",K45/O45)</f>
        <v>274.090909090909</v>
      </c>
      <c r="Q45" s="36" t="n">
        <v>0</v>
      </c>
      <c r="R45" s="36"/>
      <c r="S45" s="35" t="str">
        <f aca="false">IF(OR(Q45=0,Q45=""),"",Q45/B45)</f>
        <v/>
      </c>
      <c r="T45" s="36" t="n">
        <v>0</v>
      </c>
      <c r="U45" s="35" t="str">
        <f aca="false">IF(OR(Q45=0,Q45=""),"",Q45/T45)</f>
        <v/>
      </c>
      <c r="V45" s="36" t="n">
        <v>0</v>
      </c>
      <c r="W45" s="35" t="str">
        <f aca="false">IF(OR(Q45=0,Q45=""),"",Q45/V45)</f>
        <v/>
      </c>
      <c r="X45" s="35" t="n">
        <f aca="false">MAX(G45,T45)+M45</f>
        <v>54</v>
      </c>
      <c r="Y45" s="35" t="n">
        <f aca="false">MAX(I45,V45)+O45</f>
        <v>132</v>
      </c>
      <c r="Z45" s="40"/>
    </row>
    <row r="46" customFormat="false" ht="15.75" hidden="false" customHeight="true" outlineLevel="0" collapsed="false">
      <c r="A46" s="34" t="s">
        <v>306</v>
      </c>
      <c r="B46" s="35" t="n">
        <v>34</v>
      </c>
      <c r="C46" s="36" t="n">
        <v>34</v>
      </c>
      <c r="D46" s="36"/>
      <c r="E46" s="37" t="n">
        <v>165375</v>
      </c>
      <c r="F46" s="36" t="n">
        <f aca="false">E46/B46</f>
        <v>4863.97058823529</v>
      </c>
      <c r="G46" s="37" t="n">
        <v>186</v>
      </c>
      <c r="H46" s="36" t="n">
        <f aca="false">IF(OR(E46=0,E46=""),"",E46/G46)</f>
        <v>889.112903225807</v>
      </c>
      <c r="I46" s="37" t="n">
        <v>366</v>
      </c>
      <c r="J46" s="36" t="n">
        <f aca="false">IF(OR(E46=0,E46=""),"",E46/I46)</f>
        <v>451.844262295082</v>
      </c>
      <c r="K46" s="36" t="n">
        <v>0</v>
      </c>
      <c r="L46" s="36" t="str">
        <f aca="false">IF(OR(K46=0,K46=""),"",K46/B46)</f>
        <v/>
      </c>
      <c r="M46" s="36" t="n">
        <v>0</v>
      </c>
      <c r="N46" s="36" t="str">
        <f aca="false">IF(OR(K46=0,K46=""),"",K46/M46)</f>
        <v/>
      </c>
      <c r="O46" s="36" t="n">
        <v>0</v>
      </c>
      <c r="P46" s="36" t="str">
        <f aca="false">IF(OR(K46=0,K46=""),"",K46/O46)</f>
        <v/>
      </c>
      <c r="Q46" s="36" t="n">
        <v>0</v>
      </c>
      <c r="R46" s="36"/>
      <c r="S46" s="35" t="str">
        <f aca="false">IF(OR(Q46=0,Q46=""),"",Q46/B46)</f>
        <v/>
      </c>
      <c r="T46" s="36" t="n">
        <v>0</v>
      </c>
      <c r="U46" s="35" t="str">
        <f aca="false">IF(OR(Q46=0,Q46=""),"",Q46/T46)</f>
        <v/>
      </c>
      <c r="V46" s="36" t="n">
        <v>0</v>
      </c>
      <c r="W46" s="35" t="str">
        <f aca="false">IF(OR(Q46=0,Q46=""),"",Q46/V46)</f>
        <v/>
      </c>
      <c r="X46" s="35" t="n">
        <f aca="false">MAX(G46,T46)+M46</f>
        <v>186</v>
      </c>
      <c r="Y46" s="35" t="n">
        <f aca="false">MAX(I46,V46)+O46</f>
        <v>366</v>
      </c>
      <c r="Z46" s="42"/>
    </row>
    <row r="47" customFormat="false" ht="15.75" hidden="false" customHeight="true" outlineLevel="0" collapsed="false">
      <c r="A47" s="34" t="s">
        <v>307</v>
      </c>
      <c r="B47" s="35" t="n">
        <v>25</v>
      </c>
      <c r="C47" s="36" t="n">
        <v>25</v>
      </c>
      <c r="D47" s="36"/>
      <c r="E47" s="36" t="n">
        <v>0</v>
      </c>
      <c r="F47" s="36" t="n">
        <f aca="false">E47/B47</f>
        <v>0</v>
      </c>
      <c r="G47" s="36" t="n">
        <v>0</v>
      </c>
      <c r="H47" s="36" t="str">
        <f aca="false">IF(OR(E47=0,E47=""),"",E47/G47)</f>
        <v/>
      </c>
      <c r="I47" s="36" t="n">
        <v>0</v>
      </c>
      <c r="J47" s="36" t="str">
        <f aca="false">IF(OR(E47=0,E47=""),"",E47/I47)</f>
        <v/>
      </c>
      <c r="K47" s="37" t="n">
        <v>63360</v>
      </c>
      <c r="L47" s="36" t="n">
        <f aca="false">IF(OR(K47=0,K47=""),"",K47/B47)</f>
        <v>2534.4</v>
      </c>
      <c r="M47" s="37" t="n">
        <v>90</v>
      </c>
      <c r="N47" s="36" t="n">
        <f aca="false">IF(OR(K47=0,K47=""),"",K47/M47)</f>
        <v>704</v>
      </c>
      <c r="O47" s="37" t="n">
        <v>222</v>
      </c>
      <c r="P47" s="36" t="n">
        <f aca="false">IF(OR(K47=0,K47=""),"",K47/O47)</f>
        <v>285.405405405405</v>
      </c>
      <c r="Q47" s="36" t="n">
        <v>0</v>
      </c>
      <c r="R47" s="36"/>
      <c r="S47" s="35" t="str">
        <f aca="false">IF(OR(Q47=0,Q47=""),"",Q47/B47)</f>
        <v/>
      </c>
      <c r="T47" s="36" t="n">
        <v>0</v>
      </c>
      <c r="U47" s="35" t="str">
        <f aca="false">IF(OR(Q47=0,Q47=""),"",Q47/T47)</f>
        <v/>
      </c>
      <c r="V47" s="36" t="n">
        <v>0</v>
      </c>
      <c r="W47" s="35" t="str">
        <f aca="false">IF(OR(Q47=0,Q47=""),"",Q47/V47)</f>
        <v/>
      </c>
      <c r="X47" s="35" t="n">
        <f aca="false">MAX(G47,T47)+M47</f>
        <v>90</v>
      </c>
      <c r="Y47" s="35" t="n">
        <f aca="false">MAX(I47,V47)+O47</f>
        <v>222</v>
      </c>
      <c r="Z47" s="38"/>
    </row>
    <row r="48" customFormat="false" ht="15.75" hidden="false" customHeight="true" outlineLevel="0" collapsed="false">
      <c r="A48" s="39" t="s">
        <v>308</v>
      </c>
      <c r="B48" s="35" t="n">
        <v>53</v>
      </c>
      <c r="C48" s="36" t="n">
        <v>53</v>
      </c>
      <c r="D48" s="36"/>
      <c r="E48" s="35" t="n">
        <v>271350</v>
      </c>
      <c r="F48" s="36" t="n">
        <f aca="false">E48/B48</f>
        <v>5119.81132075472</v>
      </c>
      <c r="G48" s="35" t="n">
        <v>306</v>
      </c>
      <c r="H48" s="36" t="n">
        <f aca="false">IF(OR(E48=0,E48=""),"",E48/G48)</f>
        <v>886.764705882353</v>
      </c>
      <c r="I48" s="35" t="n">
        <v>618</v>
      </c>
      <c r="J48" s="36" t="n">
        <f aca="false">IF(OR(E48=0,E48=""),"",E48/I48)</f>
        <v>439.077669902913</v>
      </c>
      <c r="K48" s="36" t="n">
        <v>0</v>
      </c>
      <c r="L48" s="36" t="str">
        <f aca="false">IF(OR(K48=0,K48=""),"",K48/B48)</f>
        <v/>
      </c>
      <c r="M48" s="36" t="n">
        <v>0</v>
      </c>
      <c r="N48" s="36" t="str">
        <f aca="false">IF(OR(K48=0,K48=""),"",K48/M48)</f>
        <v/>
      </c>
      <c r="O48" s="36" t="n">
        <v>0</v>
      </c>
      <c r="P48" s="36" t="str">
        <f aca="false">IF(OR(K48=0,K48=""),"",K48/O48)</f>
        <v/>
      </c>
      <c r="Q48" s="36" t="n">
        <v>0</v>
      </c>
      <c r="R48" s="36"/>
      <c r="S48" s="35" t="str">
        <f aca="false">IF(OR(Q48=0,Q48=""),"",Q48/B48)</f>
        <v/>
      </c>
      <c r="T48" s="36" t="n">
        <v>0</v>
      </c>
      <c r="U48" s="35" t="str">
        <f aca="false">IF(OR(Q48=0,Q48=""),"",Q48/T48)</f>
        <v/>
      </c>
      <c r="V48" s="36" t="n">
        <v>0</v>
      </c>
      <c r="W48" s="35" t="str">
        <f aca="false">IF(OR(Q48=0,Q48=""),"",Q48/V48)</f>
        <v/>
      </c>
      <c r="X48" s="35" t="n">
        <f aca="false">MAX(G48,T48)+M48</f>
        <v>306</v>
      </c>
      <c r="Y48" s="35" t="n">
        <f aca="false">MAX(I48,V48)+O48</f>
        <v>618</v>
      </c>
      <c r="Z48" s="41" t="s">
        <v>309</v>
      </c>
    </row>
    <row r="49" customFormat="false" ht="15.75" hidden="false" customHeight="true" outlineLevel="0" collapsed="false">
      <c r="A49" s="39" t="s">
        <v>310</v>
      </c>
      <c r="B49" s="35" t="n">
        <v>38</v>
      </c>
      <c r="C49" s="36" t="n">
        <v>38</v>
      </c>
      <c r="D49" s="36"/>
      <c r="E49" s="36" t="n">
        <v>0</v>
      </c>
      <c r="F49" s="36" t="n">
        <f aca="false">E49/B49</f>
        <v>0</v>
      </c>
      <c r="G49" s="36" t="n">
        <v>0</v>
      </c>
      <c r="H49" s="36" t="str">
        <f aca="false">IF(OR(E49=0,E49=""),"",E49/G49)</f>
        <v/>
      </c>
      <c r="I49" s="36" t="n">
        <v>0</v>
      </c>
      <c r="J49" s="36" t="str">
        <f aca="false">IF(OR(E49=0,E49=""),"",E49/I49)</f>
        <v/>
      </c>
      <c r="K49" s="35" t="n">
        <v>109980</v>
      </c>
      <c r="L49" s="36" t="n">
        <f aca="false">IF(OR(K49=0,K49=""),"",K49/B49)</f>
        <v>2894.21052631579</v>
      </c>
      <c r="M49" s="35" t="n">
        <v>150</v>
      </c>
      <c r="N49" s="36" t="n">
        <f aca="false">IF(OR(K49=0,K49=""),"",K49/M49)</f>
        <v>733.2</v>
      </c>
      <c r="O49" s="35" t="n">
        <v>378</v>
      </c>
      <c r="P49" s="36" t="n">
        <f aca="false">IF(OR(K49=0,K49=""),"",K49/O49)</f>
        <v>290.952380952381</v>
      </c>
      <c r="Q49" s="36" t="n">
        <v>0</v>
      </c>
      <c r="R49" s="36"/>
      <c r="S49" s="35" t="str">
        <f aca="false">IF(OR(Q49=0,Q49=""),"",Q49/B49)</f>
        <v/>
      </c>
      <c r="T49" s="36" t="n">
        <v>0</v>
      </c>
      <c r="U49" s="35" t="str">
        <f aca="false">IF(OR(Q49=0,Q49=""),"",Q49/T49)</f>
        <v/>
      </c>
      <c r="V49" s="36" t="n">
        <v>0</v>
      </c>
      <c r="W49" s="35" t="str">
        <f aca="false">IF(OR(Q49=0,Q49=""),"",Q49/V49)</f>
        <v/>
      </c>
      <c r="X49" s="35" t="n">
        <f aca="false">MAX(G49,T49)+M49</f>
        <v>150</v>
      </c>
      <c r="Y49" s="35" t="n">
        <f aca="false">MAX(I49,V49)+O49</f>
        <v>378</v>
      </c>
      <c r="Z49" s="43"/>
    </row>
    <row r="50" customFormat="false" ht="15.75" hidden="false" customHeight="true" outlineLevel="0" collapsed="false">
      <c r="A50" s="34" t="s">
        <v>311</v>
      </c>
      <c r="B50" s="35" t="n">
        <v>82</v>
      </c>
      <c r="C50" s="36" t="n">
        <v>82</v>
      </c>
      <c r="D50" s="36"/>
      <c r="E50" s="37" t="n">
        <v>442260</v>
      </c>
      <c r="F50" s="36" t="n">
        <f aca="false">E50/B50</f>
        <v>5393.41463414634</v>
      </c>
      <c r="G50" s="37" t="n">
        <v>498</v>
      </c>
      <c r="H50" s="36" t="n">
        <f aca="false">IF(OR(E50=0,E50=""),"",E50/G50)</f>
        <v>888.072289156627</v>
      </c>
      <c r="I50" s="37" t="n">
        <v>1044</v>
      </c>
      <c r="J50" s="36" t="n">
        <f aca="false">IF(OR(E50=0,E50=""),"",E50/I50)</f>
        <v>423.620689655172</v>
      </c>
      <c r="K50" s="36" t="n">
        <v>0</v>
      </c>
      <c r="L50" s="36" t="str">
        <f aca="false">IF(OR(K50=0,K50=""),"",K50/B50)</f>
        <v/>
      </c>
      <c r="M50" s="36" t="n">
        <v>0</v>
      </c>
      <c r="N50" s="36" t="str">
        <f aca="false">IF(OR(K50=0,K50=""),"",K50/M50)</f>
        <v/>
      </c>
      <c r="O50" s="36" t="n">
        <v>0</v>
      </c>
      <c r="P50" s="36" t="str">
        <f aca="false">IF(OR(K50=0,K50=""),"",K50/O50)</f>
        <v/>
      </c>
      <c r="Q50" s="36" t="n">
        <v>0</v>
      </c>
      <c r="R50" s="36"/>
      <c r="S50" s="35" t="str">
        <f aca="false">IF(OR(Q50=0,Q50=""),"",Q50/B50)</f>
        <v/>
      </c>
      <c r="T50" s="36" t="n">
        <v>0</v>
      </c>
      <c r="U50" s="35" t="str">
        <f aca="false">IF(OR(Q50=0,Q50=""),"",Q50/T50)</f>
        <v/>
      </c>
      <c r="V50" s="36" t="n">
        <v>0</v>
      </c>
      <c r="W50" s="35" t="str">
        <f aca="false">IF(OR(Q50=0,Q50=""),"",Q50/V50)</f>
        <v/>
      </c>
      <c r="X50" s="35" t="n">
        <f aca="false">MAX(G50,T50)+M50</f>
        <v>498</v>
      </c>
      <c r="Y50" s="35" t="n">
        <f aca="false">MAX(I50,V50)+O50</f>
        <v>1044</v>
      </c>
      <c r="Z50" s="41" t="s">
        <v>312</v>
      </c>
    </row>
    <row r="51" customFormat="false" ht="15.75" hidden="false" customHeight="true" outlineLevel="0" collapsed="false">
      <c r="A51" s="34" t="s">
        <v>313</v>
      </c>
      <c r="B51" s="35" t="n">
        <v>60</v>
      </c>
      <c r="C51" s="36" t="n">
        <v>60</v>
      </c>
      <c r="D51" s="36"/>
      <c r="E51" s="36" t="n">
        <v>0</v>
      </c>
      <c r="F51" s="36" t="n">
        <f aca="false">E51/B51</f>
        <v>0</v>
      </c>
      <c r="G51" s="36" t="n">
        <v>0</v>
      </c>
      <c r="H51" s="36" t="str">
        <f aca="false">IF(OR(E51=0,E51=""),"",E51/G51)</f>
        <v/>
      </c>
      <c r="I51" s="36" t="n">
        <v>0</v>
      </c>
      <c r="J51" s="36" t="str">
        <f aca="false">IF(OR(E51=0,E51=""),"",E51/I51)</f>
        <v/>
      </c>
      <c r="K51" s="37" t="n">
        <v>189090</v>
      </c>
      <c r="L51" s="36" t="n">
        <f aca="false">IF(OR(K51=0,K51=""),"",K51/B51)</f>
        <v>3151.5</v>
      </c>
      <c r="M51" s="37" t="n">
        <v>246</v>
      </c>
      <c r="N51" s="36" t="n">
        <f aca="false">IF(OR(K51=0,K51=""),"",K51/M51)</f>
        <v>768.658536585366</v>
      </c>
      <c r="O51" s="37" t="n">
        <v>630</v>
      </c>
      <c r="P51" s="36" t="n">
        <f aca="false">IF(OR(K51=0,K51=""),"",K51/O51)</f>
        <v>300.142857142857</v>
      </c>
      <c r="Q51" s="36" t="n">
        <v>0</v>
      </c>
      <c r="R51" s="36"/>
      <c r="S51" s="35" t="str">
        <f aca="false">IF(OR(Q51=0,Q51=""),"",Q51/B51)</f>
        <v/>
      </c>
      <c r="T51" s="36" t="n">
        <v>0</v>
      </c>
      <c r="U51" s="35" t="str">
        <f aca="false">IF(OR(Q51=0,Q51=""),"",Q51/T51)</f>
        <v/>
      </c>
      <c r="V51" s="36" t="n">
        <v>0</v>
      </c>
      <c r="W51" s="35" t="str">
        <f aca="false">IF(OR(Q51=0,Q51=""),"",Q51/V51)</f>
        <v/>
      </c>
      <c r="X51" s="35" t="n">
        <f aca="false">MAX(G51,T51)+M51</f>
        <v>246</v>
      </c>
      <c r="Y51" s="35" t="n">
        <f aca="false">MAX(I51,V51)+O51</f>
        <v>630</v>
      </c>
      <c r="Z51" s="41" t="s">
        <v>314</v>
      </c>
    </row>
    <row r="52" customFormat="false" ht="15.75" hidden="false" customHeight="true" outlineLevel="0" collapsed="false">
      <c r="A52" s="39" t="s">
        <v>315</v>
      </c>
      <c r="B52" s="35" t="n">
        <v>127</v>
      </c>
      <c r="C52" s="36" t="n">
        <v>127</v>
      </c>
      <c r="D52" s="36"/>
      <c r="E52" s="35" t="n">
        <v>719820</v>
      </c>
      <c r="F52" s="36" t="n">
        <f aca="false">E52/B52</f>
        <v>5667.87401574803</v>
      </c>
      <c r="G52" s="35" t="n">
        <v>798</v>
      </c>
      <c r="H52" s="36" t="n">
        <f aca="false">IF(OR(E52=0,E52=""),"",E52/G52)</f>
        <v>902.03007518797</v>
      </c>
      <c r="I52" s="35" t="n">
        <v>1746</v>
      </c>
      <c r="J52" s="36" t="n">
        <f aca="false">IF(OR(E52=0,E52=""),"",E52/I52)</f>
        <v>412.268041237113</v>
      </c>
      <c r="K52" s="36" t="n">
        <v>0</v>
      </c>
      <c r="L52" s="36" t="str">
        <f aca="false">IF(OR(K52=0,K52=""),"",K52/B52)</f>
        <v/>
      </c>
      <c r="M52" s="36" t="n">
        <v>0</v>
      </c>
      <c r="N52" s="36" t="str">
        <f aca="false">IF(OR(K52=0,K52=""),"",K52/M52)</f>
        <v/>
      </c>
      <c r="O52" s="36" t="n">
        <v>0</v>
      </c>
      <c r="P52" s="36" t="str">
        <f aca="false">IF(OR(K52=0,K52=""),"",K52/O52)</f>
        <v/>
      </c>
      <c r="Q52" s="36" t="n">
        <v>0</v>
      </c>
      <c r="R52" s="36"/>
      <c r="S52" s="35" t="str">
        <f aca="false">IF(OR(Q52=0,Q52=""),"",Q52/B52)</f>
        <v/>
      </c>
      <c r="T52" s="36" t="n">
        <v>0</v>
      </c>
      <c r="U52" s="35" t="str">
        <f aca="false">IF(OR(Q52=0,Q52=""),"",Q52/T52)</f>
        <v/>
      </c>
      <c r="V52" s="36" t="n">
        <v>0</v>
      </c>
      <c r="W52" s="35" t="str">
        <f aca="false">IF(OR(Q52=0,Q52=""),"",Q52/V52)</f>
        <v/>
      </c>
      <c r="X52" s="35" t="n">
        <f aca="false">MAX(G52,T52)+M52</f>
        <v>798</v>
      </c>
      <c r="Y52" s="35" t="n">
        <f aca="false">MAX(I52,V52)+O52</f>
        <v>1746</v>
      </c>
      <c r="Z52" s="41" t="s">
        <v>316</v>
      </c>
    </row>
    <row r="53" customFormat="false" ht="15.75" hidden="false" customHeight="true" outlineLevel="0" collapsed="false">
      <c r="A53" s="39" t="s">
        <v>317</v>
      </c>
      <c r="B53" s="35" t="n">
        <v>92</v>
      </c>
      <c r="C53" s="36" t="n">
        <v>92</v>
      </c>
      <c r="D53" s="36"/>
      <c r="E53" s="36" t="n">
        <v>0</v>
      </c>
      <c r="F53" s="36" t="n">
        <f aca="false">E53/B53</f>
        <v>0</v>
      </c>
      <c r="G53" s="36" t="n">
        <v>0</v>
      </c>
      <c r="H53" s="36" t="str">
        <f aca="false">IF(OR(E53=0,E53=""),"",E53/G53)</f>
        <v/>
      </c>
      <c r="I53" s="36" t="n">
        <v>0</v>
      </c>
      <c r="J53" s="36" t="str">
        <f aca="false">IF(OR(E53=0,E53=""),"",E53/I53)</f>
        <v/>
      </c>
      <c r="K53" s="35" t="n">
        <v>323730</v>
      </c>
      <c r="L53" s="36" t="n">
        <f aca="false">IF(OR(K53=0,K53=""),"",K53/B53)</f>
        <v>3518.80434782609</v>
      </c>
      <c r="M53" s="35" t="n">
        <v>396</v>
      </c>
      <c r="N53" s="36" t="n">
        <f aca="false">IF(OR(K53=0,K53=""),"",K53/M53)</f>
        <v>817.5</v>
      </c>
      <c r="O53" s="35" t="n">
        <v>1050</v>
      </c>
      <c r="P53" s="36" t="n">
        <f aca="false">IF(OR(K53=0,K53=""),"",K53/O53)</f>
        <v>308.314285714286</v>
      </c>
      <c r="Q53" s="36" t="n">
        <v>0</v>
      </c>
      <c r="R53" s="36"/>
      <c r="S53" s="35" t="str">
        <f aca="false">IF(OR(Q53=0,Q53=""),"",Q53/B53)</f>
        <v/>
      </c>
      <c r="T53" s="36" t="n">
        <v>0</v>
      </c>
      <c r="U53" s="35" t="str">
        <f aca="false">IF(OR(Q53=0,Q53=""),"",Q53/T53)</f>
        <v/>
      </c>
      <c r="V53" s="36" t="n">
        <v>0</v>
      </c>
      <c r="W53" s="35" t="str">
        <f aca="false">IF(OR(Q53=0,Q53=""),"",Q53/V53)</f>
        <v/>
      </c>
      <c r="X53" s="35" t="n">
        <f aca="false">MAX(G53,T53)+M53</f>
        <v>396</v>
      </c>
      <c r="Y53" s="35" t="n">
        <f aca="false">MAX(I53,V53)+O53</f>
        <v>1050</v>
      </c>
      <c r="Z53" s="43"/>
    </row>
    <row r="54" customFormat="false" ht="15.75" hidden="false" customHeight="true" outlineLevel="0" collapsed="false">
      <c r="A54" s="39" t="s">
        <v>318</v>
      </c>
      <c r="B54" s="35" t="n">
        <v>17</v>
      </c>
      <c r="C54" s="36" t="n">
        <v>17</v>
      </c>
      <c r="D54" s="36"/>
      <c r="E54" s="36" t="n">
        <v>0</v>
      </c>
      <c r="F54" s="36" t="n">
        <f aca="false">E54/B54</f>
        <v>0</v>
      </c>
      <c r="G54" s="36" t="n">
        <v>0</v>
      </c>
      <c r="H54" s="36" t="str">
        <f aca="false">IF(OR(E54=0,E54=""),"",E54/G54)</f>
        <v/>
      </c>
      <c r="I54" s="36" t="n">
        <v>0</v>
      </c>
      <c r="J54" s="36" t="str">
        <f aca="false">IF(OR(E54=0,E54=""),"",E54/I54)</f>
        <v/>
      </c>
      <c r="K54" s="35" t="n">
        <v>48510</v>
      </c>
      <c r="L54" s="36" t="n">
        <f aca="false">IF(OR(K54=0,K54=""),"",K54/B54)</f>
        <v>2853.52941176471</v>
      </c>
      <c r="M54" s="35" t="n">
        <v>156</v>
      </c>
      <c r="N54" s="36" t="n">
        <f aca="false">IF(OR(K54=0,K54=""),"",K54/M54)</f>
        <v>310.961538461538</v>
      </c>
      <c r="O54" s="35" t="n">
        <v>60</v>
      </c>
      <c r="P54" s="36" t="n">
        <f aca="false">IF(OR(K54=0,K54=""),"",K54/O54)</f>
        <v>808.5</v>
      </c>
      <c r="Q54" s="36" t="n">
        <v>0</v>
      </c>
      <c r="R54" s="36"/>
      <c r="S54" s="35" t="str">
        <f aca="false">IF(OR(Q54=0,Q54=""),"",Q54/B54)</f>
        <v/>
      </c>
      <c r="T54" s="36" t="n">
        <v>0</v>
      </c>
      <c r="U54" s="35" t="str">
        <f aca="false">IF(OR(Q54=0,Q54=""),"",Q54/T54)</f>
        <v/>
      </c>
      <c r="V54" s="36" t="n">
        <v>0</v>
      </c>
      <c r="W54" s="35" t="str">
        <f aca="false">IF(OR(Q54=0,Q54=""),"",Q54/V54)</f>
        <v/>
      </c>
      <c r="X54" s="35" t="n">
        <f aca="false">MAX(G54,T54)+M54</f>
        <v>156</v>
      </c>
      <c r="Y54" s="35" t="n">
        <f aca="false">MAX(I54,V54)+O54</f>
        <v>60</v>
      </c>
      <c r="Z54" s="40"/>
    </row>
    <row r="55" customFormat="false" ht="15.75" hidden="false" customHeight="true" outlineLevel="0" collapsed="false">
      <c r="A55" s="39" t="s">
        <v>319</v>
      </c>
      <c r="B55" s="35" t="n">
        <v>11</v>
      </c>
      <c r="C55" s="36" t="n">
        <v>11</v>
      </c>
      <c r="D55" s="36"/>
      <c r="E55" s="35" t="n">
        <v>41985</v>
      </c>
      <c r="F55" s="36" t="n">
        <f aca="false">E55/B55</f>
        <v>3816.81818181818</v>
      </c>
      <c r="G55" s="35" t="n">
        <v>69</v>
      </c>
      <c r="H55" s="36" t="n">
        <f aca="false">IF(OR(E55=0,E55=""),"",E55/G55)</f>
        <v>608.478260869565</v>
      </c>
      <c r="I55" s="35" t="n">
        <v>39</v>
      </c>
      <c r="J55" s="36" t="n">
        <f aca="false">IF(OR(E55=0,E55=""),"",E55/I55)</f>
        <v>1076.53846153846</v>
      </c>
      <c r="K55" s="36" t="n">
        <v>0</v>
      </c>
      <c r="L55" s="36" t="str">
        <f aca="false">IF(OR(K55=0,K55=""),"",K55/B55)</f>
        <v/>
      </c>
      <c r="M55" s="36" t="n">
        <v>0</v>
      </c>
      <c r="N55" s="36" t="str">
        <f aca="false">IF(OR(K55=0,K55=""),"",K55/M55)</f>
        <v/>
      </c>
      <c r="O55" s="36" t="n">
        <v>0</v>
      </c>
      <c r="P55" s="36" t="str">
        <f aca="false">IF(OR(K55=0,K55=""),"",K55/O55)</f>
        <v/>
      </c>
      <c r="Q55" s="36" t="n">
        <v>0</v>
      </c>
      <c r="R55" s="36"/>
      <c r="S55" s="35" t="str">
        <f aca="false">IF(OR(Q55=0,Q55=""),"",Q55/B55)</f>
        <v/>
      </c>
      <c r="T55" s="36" t="n">
        <v>0</v>
      </c>
      <c r="U55" s="35" t="str">
        <f aca="false">IF(OR(Q55=0,Q55=""),"",Q55/T55)</f>
        <v/>
      </c>
      <c r="V55" s="36" t="n">
        <v>0</v>
      </c>
      <c r="W55" s="35" t="str">
        <f aca="false">IF(OR(Q55=0,Q55=""),"",Q55/V55)</f>
        <v/>
      </c>
      <c r="X55" s="35" t="n">
        <f aca="false">MAX(G55,T55)+M55</f>
        <v>69</v>
      </c>
      <c r="Y55" s="35" t="n">
        <f aca="false">MAX(I55,V55)+O55</f>
        <v>39</v>
      </c>
      <c r="Z55" s="40"/>
    </row>
    <row r="56" customFormat="false" ht="15.75" hidden="false" customHeight="true" outlineLevel="0" collapsed="false">
      <c r="A56" s="34" t="s">
        <v>320</v>
      </c>
      <c r="B56" s="35" t="n">
        <v>15</v>
      </c>
      <c r="C56" s="36" t="n">
        <v>15</v>
      </c>
      <c r="D56" s="36"/>
      <c r="E56" s="36" t="n">
        <v>0</v>
      </c>
      <c r="F56" s="36" t="n">
        <f aca="false">E56/B56</f>
        <v>0</v>
      </c>
      <c r="G56" s="36" t="n">
        <v>0</v>
      </c>
      <c r="H56" s="36" t="str">
        <f aca="false">IF(OR(E56=0,E56=""),"",E56/G56)</f>
        <v/>
      </c>
      <c r="I56" s="36" t="n">
        <v>0</v>
      </c>
      <c r="J56" s="36" t="str">
        <f aca="false">IF(OR(E56=0,E56=""),"",E56/I56)</f>
        <v/>
      </c>
      <c r="K56" s="37" t="n">
        <v>27630</v>
      </c>
      <c r="L56" s="36" t="n">
        <f aca="false">IF(OR(K56=0,K56=""),"",K56/B56)</f>
        <v>1842</v>
      </c>
      <c r="M56" s="37" t="n">
        <v>30</v>
      </c>
      <c r="N56" s="36" t="n">
        <f aca="false">IF(OR(K56=0,K56=""),"",K56/M56)</f>
        <v>921</v>
      </c>
      <c r="O56" s="37" t="n">
        <v>66</v>
      </c>
      <c r="P56" s="36" t="n">
        <f aca="false">IF(OR(K56=0,K56=""),"",K56/O56)</f>
        <v>418.636363636364</v>
      </c>
      <c r="Q56" s="36" t="n">
        <v>0</v>
      </c>
      <c r="R56" s="36"/>
      <c r="S56" s="35" t="str">
        <f aca="false">IF(OR(Q56=0,Q56=""),"",Q56/B56)</f>
        <v/>
      </c>
      <c r="T56" s="36" t="n">
        <v>0</v>
      </c>
      <c r="U56" s="35" t="str">
        <f aca="false">IF(OR(Q56=0,Q56=""),"",Q56/T56)</f>
        <v/>
      </c>
      <c r="V56" s="36" t="n">
        <v>0</v>
      </c>
      <c r="W56" s="35" t="str">
        <f aca="false">IF(OR(Q56=0,Q56=""),"",Q56/V56)</f>
        <v/>
      </c>
      <c r="X56" s="35" t="n">
        <f aca="false">MAX(G56,T56)+M56</f>
        <v>30</v>
      </c>
      <c r="Y56" s="35" t="n">
        <f aca="false">MAX(I56,V56)+O56</f>
        <v>66</v>
      </c>
      <c r="Z56" s="38"/>
    </row>
    <row r="57" customFormat="false" ht="15.75" hidden="false" customHeight="true" outlineLevel="0" collapsed="false">
      <c r="A57" s="34" t="s">
        <v>321</v>
      </c>
      <c r="B57" s="35" t="n">
        <v>20</v>
      </c>
      <c r="C57" s="36" t="n">
        <v>20</v>
      </c>
      <c r="D57" s="36"/>
      <c r="E57" s="37" t="n">
        <v>78300</v>
      </c>
      <c r="F57" s="36" t="n">
        <f aca="false">E57/B57</f>
        <v>3915</v>
      </c>
      <c r="G57" s="37" t="n">
        <v>60</v>
      </c>
      <c r="H57" s="36" t="n">
        <f aca="false">IF(OR(E57=0,E57=""),"",E57/G57)</f>
        <v>1305</v>
      </c>
      <c r="I57" s="37" t="n">
        <v>108</v>
      </c>
      <c r="J57" s="36" t="n">
        <f aca="false">IF(OR(E57=0,E57=""),"",E57/I57)</f>
        <v>725</v>
      </c>
      <c r="K57" s="36" t="n">
        <v>0</v>
      </c>
      <c r="L57" s="36" t="str">
        <f aca="false">IF(OR(K57=0,K57=""),"",K57/B57)</f>
        <v/>
      </c>
      <c r="M57" s="36" t="n">
        <v>0</v>
      </c>
      <c r="N57" s="36" t="str">
        <f aca="false">IF(OR(K57=0,K57=""),"",K57/M57)</f>
        <v/>
      </c>
      <c r="O57" s="36" t="n">
        <v>0</v>
      </c>
      <c r="P57" s="36" t="str">
        <f aca="false">IF(OR(K57=0,K57=""),"",K57/O57)</f>
        <v/>
      </c>
      <c r="Q57" s="36" t="n">
        <v>0</v>
      </c>
      <c r="R57" s="36"/>
      <c r="S57" s="35" t="str">
        <f aca="false">IF(OR(Q57=0,Q57=""),"",Q57/B57)</f>
        <v/>
      </c>
      <c r="T57" s="36" t="n">
        <v>0</v>
      </c>
      <c r="U57" s="35" t="str">
        <f aca="false">IF(OR(Q57=0,Q57=""),"",Q57/T57)</f>
        <v/>
      </c>
      <c r="V57" s="36" t="n">
        <v>0</v>
      </c>
      <c r="W57" s="35" t="str">
        <f aca="false">IF(OR(Q57=0,Q57=""),"",Q57/V57)</f>
        <v/>
      </c>
      <c r="X57" s="35" t="n">
        <f aca="false">MAX(G57,T57)+M57</f>
        <v>60</v>
      </c>
      <c r="Y57" s="35" t="n">
        <f aca="false">MAX(I57,V57)+O57</f>
        <v>108</v>
      </c>
      <c r="Z57" s="38"/>
    </row>
    <row r="58" customFormat="false" ht="15.75" hidden="false" customHeight="true" outlineLevel="0" collapsed="false">
      <c r="A58" s="34" t="s">
        <v>322</v>
      </c>
      <c r="B58" s="35" t="n">
        <v>14</v>
      </c>
      <c r="C58" s="36" t="n">
        <v>14</v>
      </c>
      <c r="D58" s="36"/>
      <c r="E58" s="36" t="n">
        <v>0</v>
      </c>
      <c r="F58" s="36" t="n">
        <f aca="false">E58/B58</f>
        <v>0</v>
      </c>
      <c r="G58" s="36" t="n">
        <v>0</v>
      </c>
      <c r="H58" s="36" t="str">
        <f aca="false">IF(OR(E58=0,E58=""),"",E58/G58)</f>
        <v/>
      </c>
      <c r="I58" s="36" t="n">
        <v>0</v>
      </c>
      <c r="J58" s="36" t="str">
        <f aca="false">IF(OR(E58=0,E58=""),"",E58/I58)</f>
        <v/>
      </c>
      <c r="K58" s="37" t="n">
        <v>41040</v>
      </c>
      <c r="L58" s="36" t="n">
        <f aca="false">IF(OR(K58=0,K58=""),"",K58/B58)</f>
        <v>2931.42857142857</v>
      </c>
      <c r="M58" s="37" t="n">
        <v>79.2</v>
      </c>
      <c r="N58" s="36" t="n">
        <f aca="false">IF(OR(K58=0,K58=""),"",K58/M58)</f>
        <v>518.181818181818</v>
      </c>
      <c r="O58" s="37" t="n">
        <v>84</v>
      </c>
      <c r="P58" s="36" t="n">
        <f aca="false">IF(OR(K58=0,K58=""),"",K58/O58)</f>
        <v>488.571428571429</v>
      </c>
      <c r="Q58" s="36" t="n">
        <v>0</v>
      </c>
      <c r="R58" s="36"/>
      <c r="S58" s="35" t="str">
        <f aca="false">IF(OR(Q58=0,Q58=""),"",Q58/B58)</f>
        <v/>
      </c>
      <c r="T58" s="36" t="n">
        <v>0</v>
      </c>
      <c r="U58" s="35" t="str">
        <f aca="false">IF(OR(Q58=0,Q58=""),"",Q58/T58)</f>
        <v/>
      </c>
      <c r="V58" s="36" t="n">
        <v>0</v>
      </c>
      <c r="W58" s="35" t="str">
        <f aca="false">IF(OR(Q58=0,Q58=""),"",Q58/V58)</f>
        <v/>
      </c>
      <c r="X58" s="35" t="n">
        <f aca="false">MAX(G58,T58)+M58</f>
        <v>79.2</v>
      </c>
      <c r="Y58" s="35" t="n">
        <f aca="false">MAX(I58,V58)+O58</f>
        <v>84</v>
      </c>
      <c r="Z58" s="38"/>
    </row>
    <row r="59" customFormat="false" ht="15.75" hidden="false" customHeight="true" outlineLevel="0" collapsed="false">
      <c r="A59" s="34" t="s">
        <v>323</v>
      </c>
      <c r="B59" s="35" t="n">
        <v>18</v>
      </c>
      <c r="C59" s="36" t="n">
        <v>18</v>
      </c>
      <c r="D59" s="36"/>
      <c r="E59" s="37" t="n">
        <v>56700</v>
      </c>
      <c r="F59" s="36" t="n">
        <f aca="false">E59/B59</f>
        <v>3150</v>
      </c>
      <c r="G59" s="37" t="n">
        <v>81</v>
      </c>
      <c r="H59" s="36" t="n">
        <f aca="false">IF(OR(E59=0,E59=""),"",E59/G59)</f>
        <v>700</v>
      </c>
      <c r="I59" s="37" t="n">
        <v>174</v>
      </c>
      <c r="J59" s="36" t="n">
        <f aca="false">IF(OR(E59=0,E59=""),"",E59/I59)</f>
        <v>325.862068965517</v>
      </c>
      <c r="K59" s="37" t="n">
        <v>21600</v>
      </c>
      <c r="L59" s="36" t="n">
        <f aca="false">IF(OR(K59=0,K59=""),"",K59/B59)</f>
        <v>1200</v>
      </c>
      <c r="M59" s="37" t="n">
        <v>39</v>
      </c>
      <c r="N59" s="36" t="n">
        <f aca="false">IF(OR(K59=0,K59=""),"",K59/M59)</f>
        <v>553.846153846154</v>
      </c>
      <c r="O59" s="37" t="n">
        <v>117</v>
      </c>
      <c r="P59" s="36" t="n">
        <f aca="false">IF(OR(K59=0,K59=""),"",K59/O59)</f>
        <v>184.615384615385</v>
      </c>
      <c r="Q59" s="36" t="n">
        <v>0</v>
      </c>
      <c r="R59" s="36"/>
      <c r="S59" s="35" t="str">
        <f aca="false">IF(OR(Q59=0,Q59=""),"",Q59/B59)</f>
        <v/>
      </c>
      <c r="T59" s="36" t="n">
        <v>0</v>
      </c>
      <c r="U59" s="35" t="str">
        <f aca="false">IF(OR(Q59=0,Q59=""),"",Q59/T59)</f>
        <v/>
      </c>
      <c r="V59" s="36" t="n">
        <v>0</v>
      </c>
      <c r="W59" s="35" t="str">
        <f aca="false">IF(OR(Q59=0,Q59=""),"",Q59/V59)</f>
        <v/>
      </c>
      <c r="X59" s="35" t="n">
        <f aca="false">MAX(G59,T59)+M59</f>
        <v>120</v>
      </c>
      <c r="Y59" s="35" t="n">
        <f aca="false">MAX(I59,V59)+O59</f>
        <v>291</v>
      </c>
      <c r="Z59" s="38"/>
    </row>
    <row r="60" customFormat="false" ht="15.75" hidden="false" customHeight="true" outlineLevel="0" collapsed="false">
      <c r="A60" s="39" t="s">
        <v>324</v>
      </c>
      <c r="B60" s="35" t="n">
        <v>28</v>
      </c>
      <c r="C60" s="36" t="n">
        <v>28</v>
      </c>
      <c r="D60" s="36"/>
      <c r="E60" s="36" t="n">
        <v>0</v>
      </c>
      <c r="F60" s="36" t="n">
        <f aca="false">E60/B60</f>
        <v>0</v>
      </c>
      <c r="G60" s="36" t="n">
        <v>0</v>
      </c>
      <c r="H60" s="36" t="str">
        <f aca="false">IF(OR(E60=0,E60=""),"",E60/G60)</f>
        <v/>
      </c>
      <c r="I60" s="36" t="n">
        <v>0</v>
      </c>
      <c r="J60" s="36" t="str">
        <f aca="false">IF(OR(E60=0,E60=""),"",E60/I60)</f>
        <v/>
      </c>
      <c r="K60" s="35" t="n">
        <v>89550</v>
      </c>
      <c r="L60" s="36" t="n">
        <f aca="false">IF(OR(K60=0,K60=""),"",K60/B60)</f>
        <v>3198.21428571429</v>
      </c>
      <c r="M60" s="35" t="n">
        <v>158.4</v>
      </c>
      <c r="N60" s="36" t="n">
        <f aca="false">IF(OR(K60=0,K60=""),"",K60/M60)</f>
        <v>565.340909090909</v>
      </c>
      <c r="O60" s="35" t="n">
        <v>180</v>
      </c>
      <c r="P60" s="36" t="n">
        <f aca="false">IF(OR(K60=0,K60=""),"",K60/O60)</f>
        <v>497.5</v>
      </c>
      <c r="Q60" s="36" t="n">
        <v>0</v>
      </c>
      <c r="R60" s="36"/>
      <c r="S60" s="35" t="str">
        <f aca="false">IF(OR(Q60=0,Q60=""),"",Q60/B60)</f>
        <v/>
      </c>
      <c r="T60" s="36" t="n">
        <v>0</v>
      </c>
      <c r="U60" s="35" t="str">
        <f aca="false">IF(OR(Q60=0,Q60=""),"",Q60/T60)</f>
        <v/>
      </c>
      <c r="V60" s="36" t="n">
        <v>0</v>
      </c>
      <c r="W60" s="35" t="str">
        <f aca="false">IF(OR(Q60=0,Q60=""),"",Q60/V60)</f>
        <v/>
      </c>
      <c r="X60" s="35" t="n">
        <f aca="false">MAX(G60,T60)+M60</f>
        <v>158.4</v>
      </c>
      <c r="Y60" s="35" t="n">
        <f aca="false">MAX(I60,V60)+O60</f>
        <v>180</v>
      </c>
      <c r="Z60" s="40"/>
    </row>
    <row r="61" customFormat="false" ht="15.75" hidden="false" customHeight="true" outlineLevel="0" collapsed="false">
      <c r="A61" s="39" t="s">
        <v>325</v>
      </c>
      <c r="B61" s="35" t="n">
        <v>26</v>
      </c>
      <c r="C61" s="36" t="n">
        <v>26</v>
      </c>
      <c r="D61" s="36"/>
      <c r="E61" s="36" t="n">
        <v>0</v>
      </c>
      <c r="F61" s="36" t="n">
        <f aca="false">E61/B61</f>
        <v>0</v>
      </c>
      <c r="G61" s="36" t="n">
        <v>0</v>
      </c>
      <c r="H61" s="36" t="str">
        <f aca="false">IF(OR(E61=0,E61=""),"",E61/G61)</f>
        <v/>
      </c>
      <c r="I61" s="36" t="n">
        <v>0</v>
      </c>
      <c r="J61" s="36" t="str">
        <f aca="false">IF(OR(E61=0,E61=""),"",E61/I61)</f>
        <v/>
      </c>
      <c r="K61" s="35" t="n">
        <v>53100</v>
      </c>
      <c r="L61" s="36" t="n">
        <f aca="false">IF(OR(K61=0,K61=""),"",K61/B61)</f>
        <v>2042.30769230769</v>
      </c>
      <c r="M61" s="35" t="n">
        <v>54</v>
      </c>
      <c r="N61" s="36" t="n">
        <f aca="false">IF(OR(K61=0,K61=""),"",K61/M61)</f>
        <v>983.333333333333</v>
      </c>
      <c r="O61" s="35" t="n">
        <v>126</v>
      </c>
      <c r="P61" s="36" t="n">
        <f aca="false">IF(OR(K61=0,K61=""),"",K61/O61)</f>
        <v>421.428571428571</v>
      </c>
      <c r="Q61" s="36" t="n">
        <v>0</v>
      </c>
      <c r="R61" s="36"/>
      <c r="S61" s="35" t="str">
        <f aca="false">IF(OR(Q61=0,Q61=""),"",Q61/B61)</f>
        <v/>
      </c>
      <c r="T61" s="36" t="n">
        <v>0</v>
      </c>
      <c r="U61" s="35" t="str">
        <f aca="false">IF(OR(Q61=0,Q61=""),"",Q61/T61)</f>
        <v/>
      </c>
      <c r="V61" s="36" t="n">
        <v>0</v>
      </c>
      <c r="W61" s="35" t="str">
        <f aca="false">IF(OR(Q61=0,Q61=""),"",Q61/V61)</f>
        <v/>
      </c>
      <c r="X61" s="35" t="n">
        <f aca="false">MAX(G61,T61)+M61</f>
        <v>54</v>
      </c>
      <c r="Y61" s="35" t="n">
        <f aca="false">MAX(I61,V61)+O61</f>
        <v>126</v>
      </c>
      <c r="Z61" s="43"/>
    </row>
    <row r="62" customFormat="false" ht="15.75" hidden="false" customHeight="true" outlineLevel="0" collapsed="false">
      <c r="A62" s="39" t="s">
        <v>326</v>
      </c>
      <c r="B62" s="35" t="n">
        <v>34</v>
      </c>
      <c r="C62" s="36" t="n">
        <v>34</v>
      </c>
      <c r="D62" s="36"/>
      <c r="E62" s="35" t="n">
        <v>139860</v>
      </c>
      <c r="F62" s="36" t="n">
        <f aca="false">E62/B62</f>
        <v>4113.52941176471</v>
      </c>
      <c r="G62" s="35" t="n">
        <v>108</v>
      </c>
      <c r="H62" s="36" t="n">
        <f aca="false">IF(OR(E62=0,E62=""),"",E62/G62)</f>
        <v>1295</v>
      </c>
      <c r="I62" s="35" t="n">
        <v>204</v>
      </c>
      <c r="J62" s="36" t="n">
        <f aca="false">IF(OR(E62=0,E62=""),"",E62/I62)</f>
        <v>685.588235294118</v>
      </c>
      <c r="K62" s="36" t="n">
        <v>0</v>
      </c>
      <c r="L62" s="36" t="str">
        <f aca="false">IF(OR(K62=0,K62=""),"",K62/B62)</f>
        <v/>
      </c>
      <c r="M62" s="36" t="n">
        <v>0</v>
      </c>
      <c r="N62" s="36" t="str">
        <f aca="false">IF(OR(K62=0,K62=""),"",K62/M62)</f>
        <v/>
      </c>
      <c r="O62" s="36" t="n">
        <v>0</v>
      </c>
      <c r="P62" s="36" t="str">
        <f aca="false">IF(OR(K62=0,K62=""),"",K62/O62)</f>
        <v/>
      </c>
      <c r="Q62" s="36" t="n">
        <v>0</v>
      </c>
      <c r="R62" s="36"/>
      <c r="S62" s="35" t="str">
        <f aca="false">IF(OR(Q62=0,Q62=""),"",Q62/B62)</f>
        <v/>
      </c>
      <c r="T62" s="36" t="n">
        <v>0</v>
      </c>
      <c r="U62" s="35" t="str">
        <f aca="false">IF(OR(Q62=0,Q62=""),"",Q62/T62)</f>
        <v/>
      </c>
      <c r="V62" s="36" t="n">
        <v>0</v>
      </c>
      <c r="W62" s="35" t="str">
        <f aca="false">IF(OR(Q62=0,Q62=""),"",Q62/V62)</f>
        <v/>
      </c>
      <c r="X62" s="35" t="n">
        <f aca="false">MAX(G62,T62)+M62</f>
        <v>108</v>
      </c>
      <c r="Y62" s="35" t="n">
        <f aca="false">MAX(I62,V62)+O62</f>
        <v>204</v>
      </c>
      <c r="Z62" s="43"/>
    </row>
    <row r="63" customFormat="false" ht="15.75" hidden="false" customHeight="true" outlineLevel="0" collapsed="false">
      <c r="A63" s="34" t="s">
        <v>327</v>
      </c>
      <c r="B63" s="35" t="n">
        <v>43</v>
      </c>
      <c r="C63" s="36" t="n">
        <v>43</v>
      </c>
      <c r="D63" s="36"/>
      <c r="E63" s="36" t="n">
        <v>0</v>
      </c>
      <c r="F63" s="36" t="n">
        <f aca="false">E63/B63</f>
        <v>0</v>
      </c>
      <c r="G63" s="36" t="n">
        <v>0</v>
      </c>
      <c r="H63" s="36" t="str">
        <f aca="false">IF(OR(E63=0,E63=""),"",E63/G63)</f>
        <v/>
      </c>
      <c r="I63" s="36" t="n">
        <v>0</v>
      </c>
      <c r="J63" s="36" t="str">
        <f aca="false">IF(OR(E63=0,E63=""),"",E63/I63)</f>
        <v/>
      </c>
      <c r="K63" s="37" t="n">
        <v>101970</v>
      </c>
      <c r="L63" s="36" t="n">
        <f aca="false">IF(OR(K63=0,K63=""),"",K63/B63)</f>
        <v>2371.39534883721</v>
      </c>
      <c r="M63" s="37" t="n">
        <v>96</v>
      </c>
      <c r="N63" s="36" t="n">
        <f aca="false">IF(OR(K63=0,K63=""),"",K63/M63)</f>
        <v>1062.1875</v>
      </c>
      <c r="O63" s="37" t="n">
        <v>246</v>
      </c>
      <c r="P63" s="36" t="n">
        <f aca="false">IF(OR(K63=0,K63=""),"",K63/O63)</f>
        <v>414.512195121951</v>
      </c>
      <c r="Q63" s="36" t="n">
        <v>0</v>
      </c>
      <c r="R63" s="36"/>
      <c r="S63" s="35" t="str">
        <f aca="false">IF(OR(Q63=0,Q63=""),"",Q63/B63)</f>
        <v/>
      </c>
      <c r="T63" s="36" t="n">
        <v>0</v>
      </c>
      <c r="U63" s="35" t="str">
        <f aca="false">IF(OR(Q63=0,Q63=""),"",Q63/T63)</f>
        <v/>
      </c>
      <c r="V63" s="36" t="n">
        <v>0</v>
      </c>
      <c r="W63" s="35" t="str">
        <f aca="false">IF(OR(Q63=0,Q63=""),"",Q63/V63)</f>
        <v/>
      </c>
      <c r="X63" s="35" t="n">
        <f aca="false">MAX(G63,T63)+M63</f>
        <v>96</v>
      </c>
      <c r="Y63" s="35" t="n">
        <f aca="false">MAX(I63,V63)+O63</f>
        <v>246</v>
      </c>
      <c r="Z63" s="38"/>
    </row>
    <row r="64" customFormat="false" ht="15.75" hidden="false" customHeight="true" outlineLevel="0" collapsed="false">
      <c r="A64" s="34" t="s">
        <v>328</v>
      </c>
      <c r="B64" s="35" t="n">
        <v>58</v>
      </c>
      <c r="C64" s="36" t="n">
        <v>58</v>
      </c>
      <c r="D64" s="36"/>
      <c r="E64" s="37" t="n">
        <v>251640</v>
      </c>
      <c r="F64" s="36" t="n">
        <f aca="false">E64/B64</f>
        <v>4338.62068965517</v>
      </c>
      <c r="G64" s="37" t="n">
        <v>192</v>
      </c>
      <c r="H64" s="36" t="n">
        <f aca="false">IF(OR(E64=0,E64=""),"",E64/G64)</f>
        <v>1310.625</v>
      </c>
      <c r="I64" s="37" t="n">
        <v>390</v>
      </c>
      <c r="J64" s="36" t="n">
        <f aca="false">IF(OR(E64=0,E64=""),"",E64/I64)</f>
        <v>645.230769230769</v>
      </c>
      <c r="K64" s="36" t="n">
        <v>0</v>
      </c>
      <c r="L64" s="36" t="str">
        <f aca="false">IF(OR(K64=0,K64=""),"",K64/B64)</f>
        <v/>
      </c>
      <c r="M64" s="36" t="n">
        <v>0</v>
      </c>
      <c r="N64" s="36" t="str">
        <f aca="false">IF(OR(K64=0,K64=""),"",K64/M64)</f>
        <v/>
      </c>
      <c r="O64" s="36" t="n">
        <v>0</v>
      </c>
      <c r="P64" s="36" t="str">
        <f aca="false">IF(OR(K64=0,K64=""),"",K64/O64)</f>
        <v/>
      </c>
      <c r="Q64" s="36" t="n">
        <v>0</v>
      </c>
      <c r="R64" s="36"/>
      <c r="S64" s="35" t="str">
        <f aca="false">IF(OR(Q64=0,Q64=""),"",Q64/B64)</f>
        <v/>
      </c>
      <c r="T64" s="36" t="n">
        <v>0</v>
      </c>
      <c r="U64" s="35" t="str">
        <f aca="false">IF(OR(Q64=0,Q64=""),"",Q64/T64)</f>
        <v/>
      </c>
      <c r="V64" s="36" t="n">
        <v>0</v>
      </c>
      <c r="W64" s="35" t="str">
        <f aca="false">IF(OR(Q64=0,Q64=""),"",Q64/V64)</f>
        <v/>
      </c>
      <c r="X64" s="35" t="n">
        <f aca="false">MAX(G64,T64)+M64</f>
        <v>192</v>
      </c>
      <c r="Y64" s="35" t="n">
        <f aca="false">MAX(I64,V64)+O64</f>
        <v>390</v>
      </c>
      <c r="Z64" s="38"/>
    </row>
    <row r="65" customFormat="false" ht="15.75" hidden="false" customHeight="true" outlineLevel="0" collapsed="false">
      <c r="A65" s="39" t="s">
        <v>329</v>
      </c>
      <c r="B65" s="35" t="n">
        <v>26</v>
      </c>
      <c r="C65" s="36" t="n">
        <v>21</v>
      </c>
      <c r="D65" s="35" t="n">
        <v>130.8</v>
      </c>
      <c r="E65" s="35" t="n">
        <v>69012</v>
      </c>
      <c r="F65" s="36" t="n">
        <f aca="false">E65/B65</f>
        <v>2654.30769230769</v>
      </c>
      <c r="G65" s="35" t="s">
        <v>330</v>
      </c>
      <c r="H65" s="36" t="e">
        <f aca="false">IF(OR(E65=0,E65=""),"",E65/G65)</f>
        <v>#VALUE!</v>
      </c>
      <c r="I65" s="35" t="n">
        <v>90</v>
      </c>
      <c r="J65" s="36" t="n">
        <f aca="false">IF(OR(E65=0,E65=""),"",E65/I65)</f>
        <v>766.8</v>
      </c>
      <c r="K65" s="35" t="n">
        <v>21096</v>
      </c>
      <c r="L65" s="36" t="n">
        <f aca="false">IF(OR(K65=0,K65=""),"",K65/B65)</f>
        <v>811.384615384615</v>
      </c>
      <c r="M65" s="35" t="n">
        <v>25.2</v>
      </c>
      <c r="N65" s="36" t="n">
        <f aca="false">IF(OR(K65=0,K65=""),"",K65/M65)</f>
        <v>837.142857142857</v>
      </c>
      <c r="O65" s="35" t="n">
        <v>18</v>
      </c>
      <c r="P65" s="36" t="n">
        <f aca="false">IF(OR(K65=0,K65=""),"",K65/O65)</f>
        <v>1172</v>
      </c>
      <c r="Q65" s="36" t="n">
        <v>0</v>
      </c>
      <c r="R65" s="36"/>
      <c r="S65" s="35" t="str">
        <f aca="false">IF(OR(Q65=0,Q65=""),"",Q65/B65)</f>
        <v/>
      </c>
      <c r="T65" s="36" t="n">
        <v>0</v>
      </c>
      <c r="U65" s="35" t="str">
        <f aca="false">IF(OR(Q65=0,Q65=""),"",Q65/T65)</f>
        <v/>
      </c>
      <c r="V65" s="36" t="n">
        <v>0</v>
      </c>
      <c r="W65" s="35" t="str">
        <f aca="false">IF(OR(Q65=0,Q65=""),"",Q65/V65)</f>
        <v/>
      </c>
      <c r="X65" s="35" t="n">
        <f aca="false">MAX(G65,T65)+M65</f>
        <v>25.2</v>
      </c>
      <c r="Y65" s="35" t="n">
        <f aca="false">MAX(I65,V65)+O65</f>
        <v>108</v>
      </c>
      <c r="Z65" s="40"/>
    </row>
    <row r="66" customFormat="false" ht="15.75" hidden="false" customHeight="true" outlineLevel="0" collapsed="false">
      <c r="A66" s="34" t="s">
        <v>331</v>
      </c>
      <c r="B66" s="35" t="n">
        <v>34</v>
      </c>
      <c r="C66" s="36" t="n">
        <v>27</v>
      </c>
      <c r="D66" s="36" t="n">
        <v>149.4</v>
      </c>
      <c r="E66" s="37" t="n">
        <v>90612</v>
      </c>
      <c r="F66" s="36" t="n">
        <f aca="false">E66/B66</f>
        <v>2665.05882352941</v>
      </c>
      <c r="G66" s="36" t="s">
        <v>330</v>
      </c>
      <c r="H66" s="36" t="e">
        <f aca="false">IF(OR(E66=0,E66=""),"",E66/G66)</f>
        <v>#VALUE!</v>
      </c>
      <c r="I66" s="37" t="n">
        <v>96</v>
      </c>
      <c r="J66" s="36" t="n">
        <f aca="false">IF(OR(E66=0,E66=""),"",E66/I66)</f>
        <v>943.875</v>
      </c>
      <c r="K66" s="37" t="n">
        <v>38889</v>
      </c>
      <c r="L66" s="36" t="n">
        <f aca="false">IF(OR(K66=0,K66=""),"",K66/B66)</f>
        <v>1143.79411764706</v>
      </c>
      <c r="M66" s="36" t="n">
        <v>0</v>
      </c>
      <c r="N66" s="36" t="e">
        <f aca="false">IF(OR(K66=0,K66=""),"",K66/M66)</f>
        <v>#DIV/0!</v>
      </c>
      <c r="O66" s="37" t="n">
        <v>30</v>
      </c>
      <c r="P66" s="36" t="n">
        <f aca="false">IF(OR(K66=0,K66=""),"",K66/O66)</f>
        <v>1296.3</v>
      </c>
      <c r="Q66" s="36" t="n">
        <v>0</v>
      </c>
      <c r="R66" s="36"/>
      <c r="S66" s="35" t="str">
        <f aca="false">IF(OR(Q66=0,Q66=""),"",Q66/B66)</f>
        <v/>
      </c>
      <c r="T66" s="36" t="n">
        <v>0</v>
      </c>
      <c r="U66" s="35" t="str">
        <f aca="false">IF(OR(Q66=0,Q66=""),"",Q66/T66)</f>
        <v/>
      </c>
      <c r="V66" s="36" t="n">
        <v>0</v>
      </c>
      <c r="W66" s="35" t="str">
        <f aca="false">IF(OR(Q66=0,Q66=""),"",Q66/V66)</f>
        <v/>
      </c>
      <c r="X66" s="35" t="n">
        <f aca="false">MAX(G66,T66)+M66</f>
        <v>0</v>
      </c>
      <c r="Y66" s="35" t="n">
        <f aca="false">MAX(I66,V66)+O66</f>
        <v>126</v>
      </c>
      <c r="Z66" s="38"/>
    </row>
    <row r="67" customFormat="false" ht="15.75" hidden="false" customHeight="true" outlineLevel="0" collapsed="false">
      <c r="A67" s="34" t="s">
        <v>332</v>
      </c>
      <c r="B67" s="35" t="n">
        <v>25</v>
      </c>
      <c r="C67" s="36" t="n">
        <v>25</v>
      </c>
      <c r="D67" s="36"/>
      <c r="E67" s="36" t="n">
        <v>0</v>
      </c>
      <c r="F67" s="36" t="n">
        <f aca="false">E67/B67</f>
        <v>0</v>
      </c>
      <c r="G67" s="36" t="n">
        <v>0</v>
      </c>
      <c r="H67" s="36" t="str">
        <f aca="false">IF(OR(E67=0,E67=""),"",E67/G67)</f>
        <v/>
      </c>
      <c r="I67" s="36" t="n">
        <v>0</v>
      </c>
      <c r="J67" s="36" t="str">
        <f aca="false">IF(OR(E67=0,E67=""),"",E67/I67)</f>
        <v/>
      </c>
      <c r="K67" s="37" t="n">
        <v>67230</v>
      </c>
      <c r="L67" s="36" t="n">
        <f aca="false">IF(OR(K67=0,K67=""),"",K67/B67)</f>
        <v>2689.2</v>
      </c>
      <c r="M67" s="37" t="n">
        <v>60</v>
      </c>
      <c r="N67" s="36" t="n">
        <f aca="false">IF(OR(K67=0,K67=""),"",K67/M67)</f>
        <v>1120.5</v>
      </c>
      <c r="O67" s="37" t="n">
        <v>390</v>
      </c>
      <c r="P67" s="36" t="n">
        <f aca="false">IF(OR(K67=0,K67=""),"",K67/O67)</f>
        <v>172.384615384615</v>
      </c>
      <c r="Q67" s="36" t="n">
        <v>0</v>
      </c>
      <c r="R67" s="36"/>
      <c r="S67" s="35" t="str">
        <f aca="false">IF(OR(Q67=0,Q67=""),"",Q67/B67)</f>
        <v/>
      </c>
      <c r="T67" s="36" t="n">
        <v>0</v>
      </c>
      <c r="U67" s="35" t="str">
        <f aca="false">IF(OR(Q67=0,Q67=""),"",Q67/T67)</f>
        <v/>
      </c>
      <c r="V67" s="36" t="n">
        <v>0</v>
      </c>
      <c r="W67" s="35" t="str">
        <f aca="false">IF(OR(Q67=0,Q67=""),"",Q67/V67)</f>
        <v/>
      </c>
      <c r="X67" s="35" t="n">
        <f aca="false">MAX(G67,T67)+M67</f>
        <v>60</v>
      </c>
      <c r="Y67" s="35" t="n">
        <f aca="false">MAX(I67,V67)+O67</f>
        <v>390</v>
      </c>
      <c r="Z67" s="38"/>
    </row>
    <row r="68" customFormat="false" ht="15.75" hidden="false" customHeight="true" outlineLevel="0" collapsed="false">
      <c r="A68" s="34" t="s">
        <v>333</v>
      </c>
      <c r="B68" s="35" t="n">
        <v>32</v>
      </c>
      <c r="C68" s="36" t="n">
        <v>32</v>
      </c>
      <c r="D68" s="36"/>
      <c r="E68" s="37" t="n">
        <v>165240</v>
      </c>
      <c r="F68" s="36" t="n">
        <f aca="false">E68/B68</f>
        <v>5163.75</v>
      </c>
      <c r="G68" s="37" t="n">
        <v>102</v>
      </c>
      <c r="H68" s="36" t="n">
        <f aca="false">IF(OR(E68=0,E68=""),"",E68/G68)</f>
        <v>1620</v>
      </c>
      <c r="I68" s="37" t="n">
        <v>660</v>
      </c>
      <c r="J68" s="36" t="n">
        <f aca="false">IF(OR(E68=0,E68=""),"",E68/I68)</f>
        <v>250.363636363636</v>
      </c>
      <c r="K68" s="36" t="n">
        <v>0</v>
      </c>
      <c r="L68" s="36" t="str">
        <f aca="false">IF(OR(K68=0,K68=""),"",K68/B68)</f>
        <v/>
      </c>
      <c r="M68" s="36" t="n">
        <v>0</v>
      </c>
      <c r="N68" s="36" t="str">
        <f aca="false">IF(OR(K68=0,K68=""),"",K68/M68)</f>
        <v/>
      </c>
      <c r="O68" s="36" t="n">
        <v>0</v>
      </c>
      <c r="P68" s="36" t="str">
        <f aca="false">IF(OR(K68=0,K68=""),"",K68/O68)</f>
        <v/>
      </c>
      <c r="Q68" s="36" t="n">
        <v>0</v>
      </c>
      <c r="R68" s="36"/>
      <c r="S68" s="35" t="str">
        <f aca="false">IF(OR(Q68=0,Q68=""),"",Q68/B68)</f>
        <v/>
      </c>
      <c r="T68" s="36" t="n">
        <v>0</v>
      </c>
      <c r="U68" s="35" t="str">
        <f aca="false">IF(OR(Q68=0,Q68=""),"",Q68/T68)</f>
        <v/>
      </c>
      <c r="V68" s="36" t="n">
        <v>0</v>
      </c>
      <c r="W68" s="35" t="str">
        <f aca="false">IF(OR(Q68=0,Q68=""),"",Q68/V68)</f>
        <v/>
      </c>
      <c r="X68" s="35" t="n">
        <f aca="false">MAX(G68,T68)+M68</f>
        <v>102</v>
      </c>
      <c r="Y68" s="35" t="n">
        <f aca="false">MAX(I68,V68)+O68</f>
        <v>660</v>
      </c>
      <c r="Z68" s="38"/>
    </row>
    <row r="69" customFormat="false" ht="15.75" hidden="false" customHeight="true" outlineLevel="0" collapsed="false">
      <c r="A69" s="39" t="s">
        <v>334</v>
      </c>
      <c r="B69" s="35" t="n">
        <v>76</v>
      </c>
      <c r="C69" s="36" t="n">
        <v>59</v>
      </c>
      <c r="D69" s="36"/>
      <c r="E69" s="35" t="n">
        <v>209088</v>
      </c>
      <c r="F69" s="36" t="n">
        <f aca="false">E69/B69</f>
        <v>2751.15789473684</v>
      </c>
      <c r="G69" s="36" t="n">
        <v>300.6</v>
      </c>
      <c r="H69" s="36" t="n">
        <f aca="false">IF(OR(E69=0,E69=""),"",E69/G69)</f>
        <v>695.568862275449</v>
      </c>
      <c r="I69" s="35" t="n">
        <v>234</v>
      </c>
      <c r="J69" s="36" t="n">
        <f aca="false">IF(OR(E69=0,E69=""),"",E69/I69)</f>
        <v>893.538461538462</v>
      </c>
      <c r="K69" s="35" t="n">
        <v>83826</v>
      </c>
      <c r="L69" s="36" t="n">
        <f aca="false">IF(OR(K69=0,K69=""),"",K69/B69)</f>
        <v>1102.97368421053</v>
      </c>
      <c r="M69" s="36" t="n">
        <v>0</v>
      </c>
      <c r="N69" s="36" t="e">
        <f aca="false">IF(OR(K69=0,K69=""),"",K69/M69)</f>
        <v>#DIV/0!</v>
      </c>
      <c r="O69" s="35" t="n">
        <v>78</v>
      </c>
      <c r="P69" s="36" t="n">
        <f aca="false">IF(OR(K69=0,K69=""),"",K69/O69)</f>
        <v>1074.69230769231</v>
      </c>
      <c r="Q69" s="36" t="n">
        <v>0</v>
      </c>
      <c r="R69" s="36"/>
      <c r="S69" s="35" t="str">
        <f aca="false">IF(OR(Q69=0,Q69=""),"",Q69/B69)</f>
        <v/>
      </c>
      <c r="T69" s="36" t="n">
        <v>0</v>
      </c>
      <c r="U69" s="35" t="str">
        <f aca="false">IF(OR(Q69=0,Q69=""),"",Q69/T69)</f>
        <v/>
      </c>
      <c r="V69" s="36" t="n">
        <v>0</v>
      </c>
      <c r="W69" s="35" t="str">
        <f aca="false">IF(OR(Q69=0,Q69=""),"",Q69/V69)</f>
        <v/>
      </c>
      <c r="X69" s="35" t="n">
        <f aca="false">MAX(G69,T69)+M69</f>
        <v>300.6</v>
      </c>
      <c r="Y69" s="35" t="n">
        <f aca="false">MAX(I69,V69)+O69</f>
        <v>312</v>
      </c>
      <c r="Z69" s="40"/>
    </row>
    <row r="70" customFormat="false" ht="15.75" hidden="false" customHeight="true" outlineLevel="0" collapsed="false">
      <c r="A70" s="34" t="s">
        <v>335</v>
      </c>
      <c r="B70" s="35" t="n">
        <v>31</v>
      </c>
      <c r="C70" s="36" t="n">
        <v>31</v>
      </c>
      <c r="D70" s="36"/>
      <c r="E70" s="36" t="n">
        <v>0</v>
      </c>
      <c r="F70" s="36" t="n">
        <f aca="false">E70/B70</f>
        <v>0</v>
      </c>
      <c r="G70" s="36" t="n">
        <v>0</v>
      </c>
      <c r="H70" s="36" t="str">
        <f aca="false">IF(OR(E70=0,E70=""),"",E70/G70)</f>
        <v/>
      </c>
      <c r="I70" s="36" t="n">
        <v>0</v>
      </c>
      <c r="J70" s="36" t="str">
        <f aca="false">IF(OR(E70=0,E70=""),"",E70/I70)</f>
        <v/>
      </c>
      <c r="K70" s="37" t="n">
        <v>102330</v>
      </c>
      <c r="L70" s="36" t="n">
        <f aca="false">IF(OR(K70=0,K70=""),"",K70/B70)</f>
        <v>3300.96774193548</v>
      </c>
      <c r="M70" s="37" t="n">
        <v>318</v>
      </c>
      <c r="N70" s="36" t="n">
        <f aca="false">IF(OR(K70=0,K70=""),"",K70/M70)</f>
        <v>321.792452830189</v>
      </c>
      <c r="O70" s="37" t="n">
        <v>126</v>
      </c>
      <c r="P70" s="36" t="n">
        <f aca="false">IF(OR(K70=0,K70=""),"",K70/O70)</f>
        <v>812.142857142857</v>
      </c>
      <c r="Q70" s="36" t="n">
        <v>0</v>
      </c>
      <c r="R70" s="36"/>
      <c r="S70" s="35" t="str">
        <f aca="false">IF(OR(Q70=0,Q70=""),"",Q70/B70)</f>
        <v/>
      </c>
      <c r="T70" s="36" t="n">
        <v>0</v>
      </c>
      <c r="U70" s="35" t="str">
        <f aca="false">IF(OR(Q70=0,Q70=""),"",Q70/T70)</f>
        <v/>
      </c>
      <c r="V70" s="36" t="n">
        <v>0</v>
      </c>
      <c r="W70" s="35" t="str">
        <f aca="false">IF(OR(Q70=0,Q70=""),"",Q70/V70)</f>
        <v/>
      </c>
      <c r="X70" s="35" t="n">
        <f aca="false">MAX(G70,T70)+M70</f>
        <v>318</v>
      </c>
      <c r="Y70" s="35" t="n">
        <f aca="false">MAX(I70,V70)+O70</f>
        <v>126</v>
      </c>
      <c r="Z70" s="38"/>
    </row>
    <row r="71" customFormat="false" ht="15.75" hidden="false" customHeight="true" outlineLevel="0" collapsed="false">
      <c r="A71" s="34" t="s">
        <v>336</v>
      </c>
      <c r="B71" s="35" t="n">
        <v>19</v>
      </c>
      <c r="C71" s="36" t="n">
        <v>19</v>
      </c>
      <c r="D71" s="36"/>
      <c r="E71" s="37" t="n">
        <v>76086</v>
      </c>
      <c r="F71" s="36" t="n">
        <f aca="false">E71/B71</f>
        <v>4004.52631578947</v>
      </c>
      <c r="G71" s="37" t="n">
        <v>138</v>
      </c>
      <c r="H71" s="36" t="n">
        <f aca="false">IF(OR(E71=0,E71=""),"",E71/G71)</f>
        <v>551.347826086957</v>
      </c>
      <c r="I71" s="37" t="n">
        <v>78</v>
      </c>
      <c r="J71" s="36" t="n">
        <f aca="false">IF(OR(E71=0,E71=""),"",E71/I71)</f>
        <v>975.461538461539</v>
      </c>
      <c r="K71" s="36" t="n">
        <v>0</v>
      </c>
      <c r="L71" s="36" t="str">
        <f aca="false">IF(OR(K71=0,K71=""),"",K71/B71)</f>
        <v/>
      </c>
      <c r="M71" s="36" t="n">
        <v>0</v>
      </c>
      <c r="N71" s="36" t="str">
        <f aca="false">IF(OR(K71=0,K71=""),"",K71/M71)</f>
        <v/>
      </c>
      <c r="O71" s="36" t="n">
        <v>0</v>
      </c>
      <c r="P71" s="36" t="str">
        <f aca="false">IF(OR(K71=0,K71=""),"",K71/O71)</f>
        <v/>
      </c>
      <c r="Q71" s="36" t="n">
        <v>0</v>
      </c>
      <c r="R71" s="36"/>
      <c r="S71" s="35" t="str">
        <f aca="false">IF(OR(Q71=0,Q71=""),"",Q71/B71)</f>
        <v/>
      </c>
      <c r="T71" s="36" t="n">
        <v>0</v>
      </c>
      <c r="U71" s="35" t="str">
        <f aca="false">IF(OR(Q71=0,Q71=""),"",Q71/T71)</f>
        <v/>
      </c>
      <c r="V71" s="36" t="n">
        <v>0</v>
      </c>
      <c r="W71" s="35" t="str">
        <f aca="false">IF(OR(Q71=0,Q71=""),"",Q71/V71)</f>
        <v/>
      </c>
      <c r="X71" s="35" t="n">
        <f aca="false">MAX(G71,T71)+M71</f>
        <v>138</v>
      </c>
      <c r="Y71" s="35" t="n">
        <f aca="false">MAX(I71,V71)+O71</f>
        <v>78</v>
      </c>
      <c r="Z71" s="38"/>
    </row>
    <row r="72" customFormat="false" ht="15.75" hidden="false" customHeight="true" outlineLevel="0" collapsed="false">
      <c r="A72" s="39" t="s">
        <v>337</v>
      </c>
      <c r="B72" s="35" t="n">
        <v>74</v>
      </c>
      <c r="C72" s="36" t="n">
        <v>74</v>
      </c>
      <c r="D72" s="36"/>
      <c r="E72" s="36" t="n">
        <v>0</v>
      </c>
      <c r="F72" s="36" t="n">
        <f aca="false">E72/B72</f>
        <v>0</v>
      </c>
      <c r="G72" s="36" t="n">
        <v>0</v>
      </c>
      <c r="H72" s="36" t="str">
        <f aca="false">IF(OR(E72=0,E72=""),"",E72/G72)</f>
        <v/>
      </c>
      <c r="I72" s="36" t="n">
        <v>0</v>
      </c>
      <c r="J72" s="36" t="str">
        <f aca="false">IF(OR(E72=0,E72=""),"",E72/I72)</f>
        <v/>
      </c>
      <c r="K72" s="35" t="n">
        <v>205470</v>
      </c>
      <c r="L72" s="36" t="n">
        <f aca="false">IF(OR(K72=0,K72=""),"",K72/B72)</f>
        <v>2776.62162162162</v>
      </c>
      <c r="M72" s="35" t="n">
        <v>174</v>
      </c>
      <c r="N72" s="36" t="n">
        <f aca="false">IF(OR(K72=0,K72=""),"",K72/M72)</f>
        <v>1180.86206896552</v>
      </c>
      <c r="O72" s="35" t="n">
        <v>462</v>
      </c>
      <c r="P72" s="36" t="n">
        <f aca="false">IF(OR(K72=0,K72=""),"",K72/O72)</f>
        <v>444.74025974026</v>
      </c>
      <c r="Q72" s="36" t="n">
        <v>0</v>
      </c>
      <c r="R72" s="36"/>
      <c r="S72" s="35" t="str">
        <f aca="false">IF(OR(Q72=0,Q72=""),"",Q72/B72)</f>
        <v/>
      </c>
      <c r="T72" s="36" t="n">
        <v>0</v>
      </c>
      <c r="U72" s="35" t="str">
        <f aca="false">IF(OR(Q72=0,Q72=""),"",Q72/T72)</f>
        <v/>
      </c>
      <c r="V72" s="36" t="n">
        <v>0</v>
      </c>
      <c r="W72" s="35" t="str">
        <f aca="false">IF(OR(Q72=0,Q72=""),"",Q72/V72)</f>
        <v/>
      </c>
      <c r="X72" s="35" t="n">
        <f aca="false">MAX(G72,T72)+M72</f>
        <v>174</v>
      </c>
      <c r="Y72" s="35" t="n">
        <f aca="false">MAX(I72,V72)+O72</f>
        <v>462</v>
      </c>
      <c r="Z72" s="43"/>
    </row>
    <row r="73" customFormat="false" ht="15.75" hidden="false" customHeight="true" outlineLevel="0" collapsed="false">
      <c r="A73" s="39" t="s">
        <v>338</v>
      </c>
      <c r="B73" s="35" t="n">
        <v>98</v>
      </c>
      <c r="C73" s="36" t="n">
        <v>98</v>
      </c>
      <c r="D73" s="36"/>
      <c r="E73" s="35" t="n">
        <v>462240</v>
      </c>
      <c r="F73" s="36" t="n">
        <f aca="false">E73/B73</f>
        <v>4716.73469387755</v>
      </c>
      <c r="G73" s="35" t="n">
        <v>348</v>
      </c>
      <c r="H73" s="36" t="n">
        <f aca="false">IF(OR(E73=0,E73=""),"",E73/G73)</f>
        <v>1328.27586206897</v>
      </c>
      <c r="I73" s="35" t="n">
        <v>738</v>
      </c>
      <c r="J73" s="36" t="n">
        <f aca="false">IF(OR(E73=0,E73=""),"",E73/I73)</f>
        <v>626.341463414634</v>
      </c>
      <c r="K73" s="36" t="n">
        <v>0</v>
      </c>
      <c r="L73" s="36" t="str">
        <f aca="false">IF(OR(K73=0,K73=""),"",K73/B73)</f>
        <v/>
      </c>
      <c r="M73" s="36" t="n">
        <v>0</v>
      </c>
      <c r="N73" s="36" t="str">
        <f aca="false">IF(OR(K73=0,K73=""),"",K73/M73)</f>
        <v/>
      </c>
      <c r="O73" s="36" t="n">
        <v>0</v>
      </c>
      <c r="P73" s="36" t="str">
        <f aca="false">IF(OR(K73=0,K73=""),"",K73/O73)</f>
        <v/>
      </c>
      <c r="Q73" s="36" t="n">
        <v>0</v>
      </c>
      <c r="R73" s="36"/>
      <c r="S73" s="35" t="str">
        <f aca="false">IF(OR(Q73=0,Q73=""),"",Q73/B73)</f>
        <v/>
      </c>
      <c r="T73" s="36" t="n">
        <v>0</v>
      </c>
      <c r="U73" s="35" t="str">
        <f aca="false">IF(OR(Q73=0,Q73=""),"",Q73/T73)</f>
        <v/>
      </c>
      <c r="V73" s="36" t="n">
        <v>0</v>
      </c>
      <c r="W73" s="35" t="str">
        <f aca="false">IF(OR(Q73=0,Q73=""),"",Q73/V73)</f>
        <v/>
      </c>
      <c r="X73" s="35" t="n">
        <f aca="false">MAX(G73,T73)+M73</f>
        <v>348</v>
      </c>
      <c r="Y73" s="35" t="n">
        <f aca="false">MAX(I73,V73)+O73</f>
        <v>738</v>
      </c>
      <c r="Z73" s="43"/>
    </row>
    <row r="74" customFormat="false" ht="15.75" hidden="false" customHeight="true" outlineLevel="0" collapsed="false">
      <c r="A74" s="39" t="s">
        <v>339</v>
      </c>
      <c r="B74" s="35" t="n">
        <v>46</v>
      </c>
      <c r="C74" s="36" t="n">
        <v>46</v>
      </c>
      <c r="D74" s="36"/>
      <c r="E74" s="36" t="n">
        <v>0</v>
      </c>
      <c r="F74" s="36" t="n">
        <f aca="false">E74/B74</f>
        <v>0</v>
      </c>
      <c r="G74" s="36" t="n">
        <v>0</v>
      </c>
      <c r="H74" s="36" t="str">
        <f aca="false">IF(OR(E74=0,E74=""),"",E74/G74)</f>
        <v/>
      </c>
      <c r="I74" s="36" t="n">
        <v>0</v>
      </c>
      <c r="J74" s="36" t="str">
        <f aca="false">IF(OR(E74=0,E74=""),"",E74/I74)</f>
        <v/>
      </c>
      <c r="K74" s="35" t="n">
        <v>117000</v>
      </c>
      <c r="L74" s="36" t="n">
        <f aca="false">IF(OR(K74=0,K74=""),"",K74/B74)</f>
        <v>2543.47826086957</v>
      </c>
      <c r="M74" s="35" t="n">
        <v>114</v>
      </c>
      <c r="N74" s="36" t="n">
        <f aca="false">IF(OR(K74=0,K74=""),"",K74/M74)</f>
        <v>1026.31578947368</v>
      </c>
      <c r="O74" s="35" t="n">
        <v>186</v>
      </c>
      <c r="P74" s="36" t="n">
        <f aca="false">IF(OR(K74=0,K74=""),"",K74/O74)</f>
        <v>629.032258064516</v>
      </c>
      <c r="Q74" s="36" t="n">
        <v>0</v>
      </c>
      <c r="R74" s="36"/>
      <c r="S74" s="35" t="str">
        <f aca="false">IF(OR(Q74=0,Q74=""),"",Q74/B74)</f>
        <v/>
      </c>
      <c r="T74" s="36" t="n">
        <v>0</v>
      </c>
      <c r="U74" s="35" t="str">
        <f aca="false">IF(OR(Q74=0,Q74=""),"",Q74/T74)</f>
        <v/>
      </c>
      <c r="V74" s="36" t="n">
        <v>0</v>
      </c>
      <c r="W74" s="35" t="str">
        <f aca="false">IF(OR(Q74=0,Q74=""),"",Q74/V74)</f>
        <v/>
      </c>
      <c r="X74" s="35" t="n">
        <f aca="false">MAX(G74,T74)+M74</f>
        <v>114</v>
      </c>
      <c r="Y74" s="35" t="n">
        <f aca="false">MAX(I74,V74)+O74</f>
        <v>186</v>
      </c>
      <c r="Z74" s="40"/>
    </row>
    <row r="75" customFormat="false" ht="15.75" hidden="false" customHeight="true" outlineLevel="0" collapsed="false">
      <c r="A75" s="39" t="s">
        <v>340</v>
      </c>
      <c r="B75" s="35" t="n">
        <v>60</v>
      </c>
      <c r="C75" s="36" t="n">
        <v>60</v>
      </c>
      <c r="D75" s="36"/>
      <c r="E75" s="35" t="n">
        <v>258390</v>
      </c>
      <c r="F75" s="36" t="n">
        <f aca="false">E75/B75</f>
        <v>4306.5</v>
      </c>
      <c r="G75" s="35" t="n">
        <v>198</v>
      </c>
      <c r="H75" s="36" t="n">
        <f aca="false">IF(OR(E75=0,E75=""),"",E75/G75)</f>
        <v>1305</v>
      </c>
      <c r="I75" s="35" t="n">
        <v>276</v>
      </c>
      <c r="J75" s="36" t="n">
        <f aca="false">IF(OR(E75=0,E75=""),"",E75/I75)</f>
        <v>936.195652173913</v>
      </c>
      <c r="K75" s="36" t="n">
        <v>0</v>
      </c>
      <c r="L75" s="36" t="str">
        <f aca="false">IF(OR(K75=0,K75=""),"",K75/B75)</f>
        <v/>
      </c>
      <c r="M75" s="36" t="n">
        <v>0</v>
      </c>
      <c r="N75" s="36" t="str">
        <f aca="false">IF(OR(K75=0,K75=""),"",K75/M75)</f>
        <v/>
      </c>
      <c r="O75" s="36" t="n">
        <v>0</v>
      </c>
      <c r="P75" s="36" t="str">
        <f aca="false">IF(OR(K75=0,K75=""),"",K75/O75)</f>
        <v/>
      </c>
      <c r="Q75" s="36" t="n">
        <v>0</v>
      </c>
      <c r="R75" s="36"/>
      <c r="S75" s="35" t="str">
        <f aca="false">IF(OR(Q75=0,Q75=""),"",Q75/B75)</f>
        <v/>
      </c>
      <c r="T75" s="36" t="n">
        <v>0</v>
      </c>
      <c r="U75" s="35" t="str">
        <f aca="false">IF(OR(Q75=0,Q75=""),"",Q75/T75)</f>
        <v/>
      </c>
      <c r="V75" s="36" t="n">
        <v>0</v>
      </c>
      <c r="W75" s="35" t="str">
        <f aca="false">IF(OR(Q75=0,Q75=""),"",Q75/V75)</f>
        <v/>
      </c>
      <c r="X75" s="35" t="n">
        <f aca="false">MAX(G75,T75)+M75</f>
        <v>198</v>
      </c>
      <c r="Y75" s="35" t="n">
        <f aca="false">MAX(I75,V75)+O75</f>
        <v>276</v>
      </c>
      <c r="Z75" s="40"/>
    </row>
    <row r="76" customFormat="false" ht="15.75" hidden="false" customHeight="true" outlineLevel="0" collapsed="false">
      <c r="A76" s="34" t="s">
        <v>341</v>
      </c>
      <c r="B76" s="35" t="n">
        <v>64</v>
      </c>
      <c r="C76" s="36" t="n">
        <v>64</v>
      </c>
      <c r="D76" s="36"/>
      <c r="E76" s="36" t="n">
        <v>0</v>
      </c>
      <c r="F76" s="36" t="n">
        <f aca="false">E76/B76</f>
        <v>0</v>
      </c>
      <c r="G76" s="36" t="n">
        <v>0</v>
      </c>
      <c r="H76" s="36" t="str">
        <f aca="false">IF(OR(E76=0,E76=""),"",E76/G76)</f>
        <v/>
      </c>
      <c r="I76" s="36" t="n">
        <v>0</v>
      </c>
      <c r="J76" s="36" t="str">
        <f aca="false">IF(OR(E76=0,E76=""),"",E76/I76)</f>
        <v/>
      </c>
      <c r="K76" s="37" t="n">
        <v>175950</v>
      </c>
      <c r="L76" s="36" t="n">
        <f aca="false">IF(OR(K76=0,K76=""),"",K76/B76)</f>
        <v>2749.21875</v>
      </c>
      <c r="M76" s="37" t="n">
        <v>168</v>
      </c>
      <c r="N76" s="36" t="n">
        <f aca="false">IF(OR(K76=0,K76=""),"",K76/M76)</f>
        <v>1047.32142857143</v>
      </c>
      <c r="O76" s="37" t="n">
        <v>282</v>
      </c>
      <c r="P76" s="36" t="n">
        <f aca="false">IF(OR(K76=0,K76=""),"",K76/O76)</f>
        <v>623.936170212766</v>
      </c>
      <c r="Q76" s="36" t="n">
        <v>0</v>
      </c>
      <c r="R76" s="36"/>
      <c r="S76" s="35" t="str">
        <f aca="false">IF(OR(Q76=0,Q76=""),"",Q76/B76)</f>
        <v/>
      </c>
      <c r="T76" s="36" t="n">
        <v>0</v>
      </c>
      <c r="U76" s="35" t="str">
        <f aca="false">IF(OR(Q76=0,Q76=""),"",Q76/T76)</f>
        <v/>
      </c>
      <c r="V76" s="36" t="n">
        <v>0</v>
      </c>
      <c r="W76" s="35" t="str">
        <f aca="false">IF(OR(Q76=0,Q76=""),"",Q76/V76)</f>
        <v/>
      </c>
      <c r="X76" s="35" t="n">
        <f aca="false">MAX(G76,T76)+M76</f>
        <v>168</v>
      </c>
      <c r="Y76" s="35" t="n">
        <f aca="false">MAX(I76,V76)+O76</f>
        <v>282</v>
      </c>
      <c r="Z76" s="38"/>
    </row>
    <row r="77" customFormat="false" ht="15.75" hidden="false" customHeight="true" outlineLevel="0" collapsed="false">
      <c r="A77" s="34" t="s">
        <v>342</v>
      </c>
      <c r="B77" s="35" t="n">
        <v>84</v>
      </c>
      <c r="C77" s="36" t="n">
        <v>84</v>
      </c>
      <c r="D77" s="36"/>
      <c r="E77" s="37" t="n">
        <v>374220</v>
      </c>
      <c r="F77" s="36" t="n">
        <f aca="false">E77/B77</f>
        <v>4455</v>
      </c>
      <c r="G77" s="37" t="n">
        <v>294</v>
      </c>
      <c r="H77" s="36" t="n">
        <f aca="false">IF(OR(E77=0,E77=""),"",E77/G77)</f>
        <v>1272.85714285714</v>
      </c>
      <c r="I77" s="37" t="n">
        <v>414</v>
      </c>
      <c r="J77" s="36" t="n">
        <f aca="false">IF(OR(E77=0,E77=""),"",E77/I77)</f>
        <v>903.913043478261</v>
      </c>
      <c r="K77" s="36" t="n">
        <v>0</v>
      </c>
      <c r="L77" s="36" t="str">
        <f aca="false">IF(OR(K77=0,K77=""),"",K77/B77)</f>
        <v/>
      </c>
      <c r="M77" s="36" t="n">
        <v>0</v>
      </c>
      <c r="N77" s="36" t="str">
        <f aca="false">IF(OR(K77=0,K77=""),"",K77/M77)</f>
        <v/>
      </c>
      <c r="O77" s="36" t="n">
        <v>0</v>
      </c>
      <c r="P77" s="36" t="str">
        <f aca="false">IF(OR(K77=0,K77=""),"",K77/O77)</f>
        <v/>
      </c>
      <c r="Q77" s="36" t="n">
        <v>0</v>
      </c>
      <c r="R77" s="36"/>
      <c r="S77" s="35" t="str">
        <f aca="false">IF(OR(Q77=0,Q77=""),"",Q77/B77)</f>
        <v/>
      </c>
      <c r="T77" s="36" t="n">
        <v>0</v>
      </c>
      <c r="U77" s="35" t="str">
        <f aca="false">IF(OR(Q77=0,Q77=""),"",Q77/T77)</f>
        <v/>
      </c>
      <c r="V77" s="36" t="n">
        <v>0</v>
      </c>
      <c r="W77" s="35" t="str">
        <f aca="false">IF(OR(Q77=0,Q77=""),"",Q77/V77)</f>
        <v/>
      </c>
      <c r="X77" s="35" t="n">
        <f aca="false">MAX(G77,T77)+M77</f>
        <v>294</v>
      </c>
      <c r="Y77" s="35" t="n">
        <f aca="false">MAX(I77,V77)+O77</f>
        <v>414</v>
      </c>
      <c r="Z77" s="42"/>
    </row>
    <row r="78" customFormat="false" ht="15.75" hidden="false" customHeight="true" outlineLevel="0" collapsed="false">
      <c r="A78" s="39" t="s">
        <v>343</v>
      </c>
      <c r="B78" s="35" t="n">
        <v>7</v>
      </c>
      <c r="C78" s="36" t="n">
        <v>7</v>
      </c>
      <c r="D78" s="36"/>
      <c r="E78" s="36" t="n">
        <v>0</v>
      </c>
      <c r="F78" s="36" t="n">
        <f aca="false">E78/B78</f>
        <v>0</v>
      </c>
      <c r="G78" s="36" t="n">
        <v>0</v>
      </c>
      <c r="H78" s="36" t="str">
        <f aca="false">IF(OR(E78=0,E78=""),"",E78/G78)</f>
        <v/>
      </c>
      <c r="I78" s="36" t="n">
        <v>0</v>
      </c>
      <c r="J78" s="36" t="str">
        <f aca="false">IF(OR(E78=0,E78=""),"",E78/I78)</f>
        <v/>
      </c>
      <c r="K78" s="35" t="n">
        <v>16092</v>
      </c>
      <c r="L78" s="36" t="n">
        <f aca="false">IF(OR(K78=0,K78=""),"",K78/B78)</f>
        <v>2298.85714285714</v>
      </c>
      <c r="M78" s="35" t="n">
        <v>15.6</v>
      </c>
      <c r="N78" s="36" t="n">
        <f aca="false">IF(OR(K78=0,K78=""),"",K78/M78)</f>
        <v>1031.53846153846</v>
      </c>
      <c r="O78" s="35" t="n">
        <v>108</v>
      </c>
      <c r="P78" s="36" t="n">
        <f aca="false">IF(OR(K78=0,K78=""),"",K78/O78)</f>
        <v>149</v>
      </c>
      <c r="Q78" s="36" t="n">
        <v>0</v>
      </c>
      <c r="R78" s="36"/>
      <c r="S78" s="35" t="str">
        <f aca="false">IF(OR(Q78=0,Q78=""),"",Q78/B78)</f>
        <v/>
      </c>
      <c r="T78" s="36" t="n">
        <v>0</v>
      </c>
      <c r="U78" s="35" t="str">
        <f aca="false">IF(OR(Q78=0,Q78=""),"",Q78/T78)</f>
        <v/>
      </c>
      <c r="V78" s="36" t="n">
        <v>0</v>
      </c>
      <c r="W78" s="35" t="str">
        <f aca="false">IF(OR(Q78=0,Q78=""),"",Q78/V78)</f>
        <v/>
      </c>
      <c r="X78" s="35" t="n">
        <f aca="false">MAX(G78,T78)+M78</f>
        <v>15.6</v>
      </c>
      <c r="Y78" s="35" t="n">
        <f aca="false">MAX(I78,V78)+O78</f>
        <v>108</v>
      </c>
      <c r="Z78" s="40"/>
    </row>
    <row r="79" customFormat="false" ht="15.75" hidden="false" customHeight="true" outlineLevel="0" collapsed="false">
      <c r="A79" s="39" t="s">
        <v>344</v>
      </c>
      <c r="B79" s="35" t="n">
        <v>9</v>
      </c>
      <c r="C79" s="36" t="n">
        <v>9</v>
      </c>
      <c r="D79" s="36"/>
      <c r="E79" s="35" t="n">
        <v>44820</v>
      </c>
      <c r="F79" s="36" t="n">
        <f aca="false">E79/B79</f>
        <v>4980</v>
      </c>
      <c r="G79" s="35" t="n">
        <v>27.6</v>
      </c>
      <c r="H79" s="36" t="n">
        <f aca="false">IF(OR(E79=0,E79=""),"",E79/G79)</f>
        <v>1623.91304347826</v>
      </c>
      <c r="I79" s="35" t="n">
        <v>180</v>
      </c>
      <c r="J79" s="36" t="n">
        <f aca="false">IF(OR(E79=0,E79=""),"",E79/I79)</f>
        <v>249</v>
      </c>
      <c r="K79" s="36" t="n">
        <v>0</v>
      </c>
      <c r="L79" s="36" t="str">
        <f aca="false">IF(OR(K79=0,K79=""),"",K79/B79)</f>
        <v/>
      </c>
      <c r="M79" s="36" t="n">
        <v>0</v>
      </c>
      <c r="N79" s="36" t="str">
        <f aca="false">IF(OR(K79=0,K79=""),"",K79/M79)</f>
        <v/>
      </c>
      <c r="O79" s="36" t="n">
        <v>0</v>
      </c>
      <c r="P79" s="36" t="str">
        <f aca="false">IF(OR(K79=0,K79=""),"",K79/O79)</f>
        <v/>
      </c>
      <c r="Q79" s="36" t="n">
        <v>0</v>
      </c>
      <c r="R79" s="36"/>
      <c r="S79" s="35" t="str">
        <f aca="false">IF(OR(Q79=0,Q79=""),"",Q79/B79)</f>
        <v/>
      </c>
      <c r="T79" s="36" t="n">
        <v>0</v>
      </c>
      <c r="U79" s="35" t="str">
        <f aca="false">IF(OR(Q79=0,Q79=""),"",Q79/T79)</f>
        <v/>
      </c>
      <c r="V79" s="36" t="n">
        <v>0</v>
      </c>
      <c r="W79" s="35" t="str">
        <f aca="false">IF(OR(Q79=0,Q79=""),"",Q79/V79)</f>
        <v/>
      </c>
      <c r="X79" s="35" t="n">
        <f aca="false">MAX(G79,T79)+M79</f>
        <v>27.6</v>
      </c>
      <c r="Y79" s="35" t="n">
        <f aca="false">MAX(I79,V79)+O79</f>
        <v>180</v>
      </c>
      <c r="Z79" s="40"/>
    </row>
    <row r="80" customFormat="false" ht="15.75" hidden="false" customHeight="true" outlineLevel="0" collapsed="false">
      <c r="A80" s="34" t="s">
        <v>345</v>
      </c>
      <c r="B80" s="35" t="n">
        <v>55</v>
      </c>
      <c r="C80" s="36" t="n">
        <v>55</v>
      </c>
      <c r="D80" s="36"/>
      <c r="E80" s="36" t="n">
        <v>0</v>
      </c>
      <c r="F80" s="36" t="n">
        <f aca="false">E80/B80</f>
        <v>0</v>
      </c>
      <c r="G80" s="36" t="n">
        <v>0</v>
      </c>
      <c r="H80" s="36" t="str">
        <f aca="false">IF(OR(E80=0,E80=""),"",E80/G80)</f>
        <v/>
      </c>
      <c r="I80" s="36" t="n">
        <v>0</v>
      </c>
      <c r="J80" s="36" t="str">
        <f aca="false">IF(OR(E80=0,E80=""),"",E80/I80)</f>
        <v/>
      </c>
      <c r="K80" s="37" t="n">
        <v>191070</v>
      </c>
      <c r="L80" s="36" t="n">
        <f aca="false">IF(OR(K80=0,K80=""),"",K80/B80)</f>
        <v>3474</v>
      </c>
      <c r="M80" s="37" t="n">
        <v>312.6</v>
      </c>
      <c r="N80" s="36" t="n">
        <f aca="false">IF(OR(K80=0,K80=""),"",K80/M80)</f>
        <v>611.228406909789</v>
      </c>
      <c r="O80" s="37" t="n">
        <v>372</v>
      </c>
      <c r="P80" s="36" t="n">
        <f aca="false">IF(OR(K80=0,K80=""),"",K80/O80)</f>
        <v>513.629032258065</v>
      </c>
      <c r="Q80" s="36" t="n">
        <v>0</v>
      </c>
      <c r="R80" s="36"/>
      <c r="S80" s="35" t="str">
        <f aca="false">IF(OR(Q80=0,Q80=""),"",Q80/B80)</f>
        <v/>
      </c>
      <c r="T80" s="36" t="n">
        <v>0</v>
      </c>
      <c r="U80" s="35" t="str">
        <f aca="false">IF(OR(Q80=0,Q80=""),"",Q80/T80)</f>
        <v/>
      </c>
      <c r="V80" s="36" t="n">
        <v>0</v>
      </c>
      <c r="W80" s="35" t="str">
        <f aca="false">IF(OR(Q80=0,Q80=""),"",Q80/V80)</f>
        <v/>
      </c>
      <c r="X80" s="35" t="n">
        <f aca="false">MAX(G80,T80)+M80</f>
        <v>312.6</v>
      </c>
      <c r="Y80" s="35" t="n">
        <f aca="false">MAX(I80,V80)+O80</f>
        <v>372</v>
      </c>
      <c r="Z80" s="38"/>
    </row>
    <row r="81" customFormat="false" ht="15.75" hidden="false" customHeight="true" outlineLevel="0" collapsed="false">
      <c r="A81" s="39" t="s">
        <v>346</v>
      </c>
      <c r="B81" s="35" t="n">
        <v>10</v>
      </c>
      <c r="C81" s="36" t="n">
        <v>10</v>
      </c>
      <c r="D81" s="36"/>
      <c r="E81" s="36" t="n">
        <v>0</v>
      </c>
      <c r="F81" s="36" t="n">
        <f aca="false">E81/B81</f>
        <v>0</v>
      </c>
      <c r="G81" s="36" t="n">
        <v>0</v>
      </c>
      <c r="H81" s="36" t="str">
        <f aca="false">IF(OR(E81=0,E81=""),"",E81/G81)</f>
        <v/>
      </c>
      <c r="I81" s="36" t="n">
        <v>0</v>
      </c>
      <c r="J81" s="36" t="str">
        <f aca="false">IF(OR(E81=0,E81=""),"",E81/I81)</f>
        <v/>
      </c>
      <c r="K81" s="35" t="n">
        <v>25200</v>
      </c>
      <c r="L81" s="36" t="n">
        <f aca="false">IF(OR(K81=0,K81=""),"",K81/B81)</f>
        <v>2520</v>
      </c>
      <c r="M81" s="35" t="n">
        <v>42</v>
      </c>
      <c r="N81" s="36" t="n">
        <f aca="false">IF(OR(K81=0,K81=""),"",K81/M81)</f>
        <v>600</v>
      </c>
      <c r="O81" s="35" t="n">
        <v>126</v>
      </c>
      <c r="P81" s="36" t="n">
        <f aca="false">IF(OR(K81=0,K81=""),"",K81/O81)</f>
        <v>200</v>
      </c>
      <c r="Q81" s="36" t="n">
        <v>0</v>
      </c>
      <c r="R81" s="36"/>
      <c r="S81" s="35" t="str">
        <f aca="false">IF(OR(Q81=0,Q81=""),"",Q81/B81)</f>
        <v/>
      </c>
      <c r="T81" s="36" t="n">
        <v>0</v>
      </c>
      <c r="U81" s="35" t="str">
        <f aca="false">IF(OR(Q81=0,Q81=""),"",Q81/T81)</f>
        <v/>
      </c>
      <c r="V81" s="36" t="n">
        <v>0</v>
      </c>
      <c r="W81" s="35" t="str">
        <f aca="false">IF(OR(Q81=0,Q81=""),"",Q81/V81)</f>
        <v/>
      </c>
      <c r="X81" s="35" t="n">
        <f aca="false">MAX(G81,T81)+M81</f>
        <v>42</v>
      </c>
      <c r="Y81" s="35" t="n">
        <f aca="false">MAX(I81,V81)+O81</f>
        <v>126</v>
      </c>
      <c r="Z81" s="40"/>
    </row>
    <row r="82" customFormat="false" ht="15.75" hidden="false" customHeight="true" outlineLevel="0" collapsed="false">
      <c r="A82" s="34" t="s">
        <v>347</v>
      </c>
      <c r="B82" s="35" t="n">
        <v>18</v>
      </c>
      <c r="C82" s="36" t="n">
        <v>18</v>
      </c>
      <c r="D82" s="36"/>
      <c r="E82" s="36" t="n">
        <v>0</v>
      </c>
      <c r="F82" s="36" t="n">
        <f aca="false">E82/B82</f>
        <v>0</v>
      </c>
      <c r="G82" s="36" t="n">
        <v>0</v>
      </c>
      <c r="H82" s="36" t="str">
        <f aca="false">IF(OR(E82=0,E82=""),"",E82/G82)</f>
        <v/>
      </c>
      <c r="I82" s="36" t="n">
        <v>0</v>
      </c>
      <c r="J82" s="36" t="str">
        <f aca="false">IF(OR(E82=0,E82=""),"",E82/I82)</f>
        <v/>
      </c>
      <c r="K82" s="37" t="n">
        <v>51192</v>
      </c>
      <c r="L82" s="36" t="n">
        <f aca="false">IF(OR(K82=0,K82=""),"",K82/B82)</f>
        <v>2844</v>
      </c>
      <c r="M82" s="37" t="n">
        <v>84</v>
      </c>
      <c r="N82" s="36" t="n">
        <f aca="false">IF(OR(K82=0,K82=""),"",K82/M82)</f>
        <v>609.428571428571</v>
      </c>
      <c r="O82" s="37" t="n">
        <v>246</v>
      </c>
      <c r="P82" s="36" t="n">
        <f aca="false">IF(OR(K82=0,K82=""),"",K82/O82)</f>
        <v>208.09756097561</v>
      </c>
      <c r="Q82" s="36" t="n">
        <v>0</v>
      </c>
      <c r="R82" s="36"/>
      <c r="S82" s="35" t="str">
        <f aca="false">IF(OR(Q82=0,Q82=""),"",Q82/B82)</f>
        <v/>
      </c>
      <c r="T82" s="36" t="n">
        <v>0</v>
      </c>
      <c r="U82" s="35" t="str">
        <f aca="false">IF(OR(Q82=0,Q82=""),"",Q82/T82)</f>
        <v/>
      </c>
      <c r="V82" s="36" t="n">
        <v>0</v>
      </c>
      <c r="W82" s="35" t="str">
        <f aca="false">IF(OR(Q82=0,Q82=""),"",Q82/V82)</f>
        <v/>
      </c>
      <c r="X82" s="35" t="n">
        <f aca="false">MAX(G82,T82)+M82</f>
        <v>84</v>
      </c>
      <c r="Y82" s="35" t="n">
        <f aca="false">MAX(I82,V82)+O82</f>
        <v>246</v>
      </c>
      <c r="Z82" s="42"/>
    </row>
    <row r="83" customFormat="false" ht="15.75" hidden="false" customHeight="true" outlineLevel="0" collapsed="false">
      <c r="A83" s="39" t="s">
        <v>348</v>
      </c>
      <c r="B83" s="35" t="n">
        <v>30</v>
      </c>
      <c r="C83" s="36" t="n">
        <v>30</v>
      </c>
      <c r="D83" s="36"/>
      <c r="E83" s="36" t="n">
        <v>0</v>
      </c>
      <c r="F83" s="36" t="n">
        <f aca="false">E83/B83</f>
        <v>0</v>
      </c>
      <c r="G83" s="36" t="n">
        <v>0</v>
      </c>
      <c r="H83" s="36" t="str">
        <f aca="false">IF(OR(E83=0,E83=""),"",E83/G83)</f>
        <v/>
      </c>
      <c r="I83" s="36" t="n">
        <v>0</v>
      </c>
      <c r="J83" s="36" t="str">
        <f aca="false">IF(OR(E83=0,E83=""),"",E83/I83)</f>
        <v/>
      </c>
      <c r="K83" s="35" t="n">
        <v>95040</v>
      </c>
      <c r="L83" s="36" t="n">
        <f aca="false">IF(OR(K83=0,K83=""),"",K83/B83)</f>
        <v>3168</v>
      </c>
      <c r="M83" s="35" t="n">
        <v>150</v>
      </c>
      <c r="N83" s="36" t="n">
        <f aca="false">IF(OR(K83=0,K83=""),"",K83/M83)</f>
        <v>633.6</v>
      </c>
      <c r="O83" s="35" t="n">
        <v>444</v>
      </c>
      <c r="P83" s="36" t="n">
        <f aca="false">IF(OR(K83=0,K83=""),"",K83/O83)</f>
        <v>214.054054054054</v>
      </c>
      <c r="Q83" s="36" t="n">
        <v>0</v>
      </c>
      <c r="R83" s="36"/>
      <c r="S83" s="35" t="str">
        <f aca="false">IF(OR(Q83=0,Q83=""),"",Q83/B83)</f>
        <v/>
      </c>
      <c r="T83" s="36" t="n">
        <v>0</v>
      </c>
      <c r="U83" s="35" t="str">
        <f aca="false">IF(OR(Q83=0,Q83=""),"",Q83/T83)</f>
        <v/>
      </c>
      <c r="V83" s="36" t="n">
        <v>0</v>
      </c>
      <c r="W83" s="35" t="str">
        <f aca="false">IF(OR(Q83=0,Q83=""),"",Q83/V83)</f>
        <v/>
      </c>
      <c r="X83" s="35" t="n">
        <f aca="false">MAX(G83,T83)+M83</f>
        <v>150</v>
      </c>
      <c r="Y83" s="35" t="n">
        <f aca="false">MAX(I83,V83)+O83</f>
        <v>444</v>
      </c>
      <c r="Z83" s="40"/>
    </row>
    <row r="84" customFormat="false" ht="15.75" hidden="false" customHeight="true" outlineLevel="0" collapsed="false">
      <c r="A84" s="34" t="s">
        <v>349</v>
      </c>
      <c r="B84" s="35" t="n">
        <v>52</v>
      </c>
      <c r="C84" s="36" t="n">
        <v>52</v>
      </c>
      <c r="D84" s="36"/>
      <c r="E84" s="36" t="n">
        <v>0</v>
      </c>
      <c r="F84" s="36" t="n">
        <f aca="false">E84/B84</f>
        <v>0</v>
      </c>
      <c r="G84" s="36" t="n">
        <v>0</v>
      </c>
      <c r="H84" s="36" t="str">
        <f aca="false">IF(OR(E84=0,E84=""),"",E84/G84)</f>
        <v/>
      </c>
      <c r="I84" s="36" t="n">
        <v>0</v>
      </c>
      <c r="J84" s="36" t="str">
        <f aca="false">IF(OR(E84=0,E84=""),"",E84/I84)</f>
        <v/>
      </c>
      <c r="K84" s="37" t="n">
        <v>186264</v>
      </c>
      <c r="L84" s="36" t="n">
        <f aca="false">IF(OR(K84=0,K84=""),"",K84/B84)</f>
        <v>3582</v>
      </c>
      <c r="M84" s="37" t="n">
        <v>276</v>
      </c>
      <c r="N84" s="36" t="n">
        <f aca="false">IF(OR(K84=0,K84=""),"",K84/M84)</f>
        <v>674.869565217391</v>
      </c>
      <c r="O84" s="37" t="n">
        <v>852</v>
      </c>
      <c r="P84" s="36" t="n">
        <f aca="false">IF(OR(K84=0,K84=""),"",K84/O84)</f>
        <v>218.619718309859</v>
      </c>
      <c r="Q84" s="36" t="n">
        <v>0</v>
      </c>
      <c r="R84" s="36"/>
      <c r="S84" s="35" t="str">
        <f aca="false">IF(OR(Q84=0,Q84=""),"",Q84/B84)</f>
        <v/>
      </c>
      <c r="T84" s="36" t="n">
        <v>0</v>
      </c>
      <c r="U84" s="35" t="str">
        <f aca="false">IF(OR(Q84=0,Q84=""),"",Q84/T84)</f>
        <v/>
      </c>
      <c r="V84" s="36" t="n">
        <v>0</v>
      </c>
      <c r="W84" s="35" t="str">
        <f aca="false">IF(OR(Q84=0,Q84=""),"",Q84/V84)</f>
        <v/>
      </c>
      <c r="X84" s="35" t="n">
        <f aca="false">MAX(G84,T84)+M84</f>
        <v>276</v>
      </c>
      <c r="Y84" s="35" t="n">
        <f aca="false">MAX(I84,V84)+O84</f>
        <v>852</v>
      </c>
      <c r="Z84" s="42"/>
    </row>
    <row r="85" customFormat="false" ht="15.75" hidden="false" customHeight="true" outlineLevel="0" collapsed="false">
      <c r="A85" s="39" t="s">
        <v>350</v>
      </c>
      <c r="B85" s="35" t="n">
        <v>89</v>
      </c>
      <c r="C85" s="36" t="n">
        <v>89</v>
      </c>
      <c r="D85" s="36"/>
      <c r="E85" s="36" t="n">
        <v>0</v>
      </c>
      <c r="F85" s="36" t="n">
        <f aca="false">E85/B85</f>
        <v>0</v>
      </c>
      <c r="G85" s="36" t="n">
        <v>0</v>
      </c>
      <c r="H85" s="36" t="str">
        <f aca="false">IF(OR(E85=0,E85=""),"",E85/G85)</f>
        <v/>
      </c>
      <c r="I85" s="36" t="n">
        <v>0</v>
      </c>
      <c r="J85" s="36" t="str">
        <f aca="false">IF(OR(E85=0,E85=""),"",E85/I85)</f>
        <v/>
      </c>
      <c r="K85" s="35" t="n">
        <v>360450</v>
      </c>
      <c r="L85" s="36" t="n">
        <f aca="false">IF(OR(K85=0,K85=""),"",K85/B85)</f>
        <v>4050</v>
      </c>
      <c r="M85" s="35" t="n">
        <v>492</v>
      </c>
      <c r="N85" s="36" t="n">
        <f aca="false">IF(OR(K85=0,K85=""),"",K85/M85)</f>
        <v>732.621951219512</v>
      </c>
      <c r="O85" s="35" t="n">
        <v>1602</v>
      </c>
      <c r="P85" s="36" t="n">
        <f aca="false">IF(OR(K85=0,K85=""),"",K85/O85)</f>
        <v>225</v>
      </c>
      <c r="Q85" s="36" t="n">
        <v>0</v>
      </c>
      <c r="R85" s="36"/>
      <c r="S85" s="35" t="str">
        <f aca="false">IF(OR(Q85=0,Q85=""),"",Q85/B85)</f>
        <v/>
      </c>
      <c r="T85" s="36" t="n">
        <v>0</v>
      </c>
      <c r="U85" s="35" t="str">
        <f aca="false">IF(OR(Q85=0,Q85=""),"",Q85/T85)</f>
        <v/>
      </c>
      <c r="V85" s="36" t="n">
        <v>0</v>
      </c>
      <c r="W85" s="35" t="str">
        <f aca="false">IF(OR(Q85=0,Q85=""),"",Q85/V85)</f>
        <v/>
      </c>
      <c r="X85" s="35" t="n">
        <f aca="false">MAX(G85,T85)+M85</f>
        <v>492</v>
      </c>
      <c r="Y85" s="35" t="n">
        <f aca="false">MAX(I85,V85)+O85</f>
        <v>1602</v>
      </c>
      <c r="Z85" s="40"/>
    </row>
    <row r="86" customFormat="false" ht="15.75" hidden="false" customHeight="true" outlineLevel="0" collapsed="false">
      <c r="A86" s="39" t="s">
        <v>351</v>
      </c>
      <c r="B86" s="35" t="n">
        <v>101</v>
      </c>
      <c r="C86" s="36" t="n">
        <v>81</v>
      </c>
      <c r="D86" s="36"/>
      <c r="E86" s="35" t="n">
        <v>299160</v>
      </c>
      <c r="F86" s="36" t="n">
        <f aca="false">E86/B86</f>
        <v>2961.9801980198</v>
      </c>
      <c r="G86" s="36" t="n">
        <v>408.6</v>
      </c>
      <c r="H86" s="36" t="n">
        <f aca="false">IF(OR(E86=0,E86=""),"",E86/G86)</f>
        <v>732.15859030837</v>
      </c>
      <c r="I86" s="35" t="n">
        <v>294</v>
      </c>
      <c r="J86" s="36" t="n">
        <f aca="false">IF(OR(E86=0,E86=""),"",E86/I86)</f>
        <v>1017.55102040816</v>
      </c>
      <c r="K86" s="35" t="n">
        <v>124128</v>
      </c>
      <c r="L86" s="36" t="n">
        <f aca="false">IF(OR(K86=0,K86=""),"",K86/B86)</f>
        <v>1228.9900990099</v>
      </c>
      <c r="M86" s="36" t="n">
        <v>0</v>
      </c>
      <c r="N86" s="36" t="e">
        <f aca="false">IF(OR(K86=0,K86=""),"",K86/M86)</f>
        <v>#DIV/0!</v>
      </c>
      <c r="O86" s="35" t="n">
        <v>114</v>
      </c>
      <c r="P86" s="36" t="n">
        <f aca="false">IF(OR(K86=0,K86=""),"",K86/O86)</f>
        <v>1088.84210526316</v>
      </c>
      <c r="Q86" s="36" t="n">
        <v>0</v>
      </c>
      <c r="R86" s="36"/>
      <c r="S86" s="35" t="str">
        <f aca="false">IF(OR(Q86=0,Q86=""),"",Q86/B86)</f>
        <v/>
      </c>
      <c r="T86" s="36" t="n">
        <v>0</v>
      </c>
      <c r="U86" s="35" t="str">
        <f aca="false">IF(OR(Q86=0,Q86=""),"",Q86/T86)</f>
        <v/>
      </c>
      <c r="V86" s="36" t="n">
        <v>0</v>
      </c>
      <c r="W86" s="35" t="str">
        <f aca="false">IF(OR(Q86=0,Q86=""),"",Q86/V86)</f>
        <v/>
      </c>
      <c r="X86" s="35" t="n">
        <f aca="false">MAX(G86,T86)+M86</f>
        <v>408.6</v>
      </c>
      <c r="Y86" s="35" t="n">
        <f aca="false">MAX(I86,V86)+O86</f>
        <v>408</v>
      </c>
      <c r="Z86" s="40"/>
    </row>
    <row r="87" customFormat="false" ht="15.75" hidden="false" customHeight="true" outlineLevel="0" collapsed="false">
      <c r="A87" s="39" t="s">
        <v>352</v>
      </c>
      <c r="B87" s="35" t="n">
        <v>14</v>
      </c>
      <c r="C87" s="36" t="n">
        <v>14</v>
      </c>
      <c r="D87" s="36"/>
      <c r="E87" s="35" t="n">
        <v>74736</v>
      </c>
      <c r="F87" s="36" t="n">
        <f aca="false">E87/B87</f>
        <v>5338.28571428572</v>
      </c>
      <c r="G87" s="35" t="n">
        <v>90</v>
      </c>
      <c r="H87" s="36" t="n">
        <f aca="false">IF(OR(E87=0,E87=""),"",E87/G87)</f>
        <v>830.4</v>
      </c>
      <c r="I87" s="35" t="n">
        <v>204</v>
      </c>
      <c r="J87" s="36" t="n">
        <f aca="false">IF(OR(E87=0,E87=""),"",E87/I87)</f>
        <v>366.352941176471</v>
      </c>
      <c r="K87" s="36" t="n">
        <v>0</v>
      </c>
      <c r="L87" s="36" t="str">
        <f aca="false">IF(OR(K87=0,K87=""),"",K87/B87)</f>
        <v/>
      </c>
      <c r="M87" s="36" t="n">
        <v>0</v>
      </c>
      <c r="N87" s="36" t="str">
        <f aca="false">IF(OR(K87=0,K87=""),"",K87/M87)</f>
        <v/>
      </c>
      <c r="O87" s="36" t="n">
        <v>0</v>
      </c>
      <c r="P87" s="36" t="str">
        <f aca="false">IF(OR(K87=0,K87=""),"",K87/O87)</f>
        <v/>
      </c>
      <c r="Q87" s="36" t="n">
        <v>0</v>
      </c>
      <c r="R87" s="36"/>
      <c r="S87" s="35" t="str">
        <f aca="false">IF(OR(Q87=0,Q87=""),"",Q87/B87)</f>
        <v/>
      </c>
      <c r="T87" s="36" t="n">
        <v>0</v>
      </c>
      <c r="U87" s="35" t="str">
        <f aca="false">IF(OR(Q87=0,Q87=""),"",Q87/T87)</f>
        <v/>
      </c>
      <c r="V87" s="36" t="n">
        <v>0</v>
      </c>
      <c r="W87" s="35" t="str">
        <f aca="false">IF(OR(Q87=0,Q87=""),"",Q87/V87)</f>
        <v/>
      </c>
      <c r="X87" s="35" t="n">
        <f aca="false">MAX(G87,T87)+M87</f>
        <v>90</v>
      </c>
      <c r="Y87" s="35" t="n">
        <f aca="false">MAX(I87,V87)+O87</f>
        <v>204</v>
      </c>
      <c r="Z87" s="40"/>
    </row>
    <row r="88" customFormat="false" ht="15.75" hidden="false" customHeight="true" outlineLevel="0" collapsed="false">
      <c r="A88" s="34" t="s">
        <v>353</v>
      </c>
      <c r="B88" s="35" t="n">
        <v>24</v>
      </c>
      <c r="C88" s="36" t="n">
        <v>24</v>
      </c>
      <c r="D88" s="36"/>
      <c r="E88" s="37" t="n">
        <v>135108</v>
      </c>
      <c r="F88" s="36" t="n">
        <f aca="false">E88/B88</f>
        <v>5629.5</v>
      </c>
      <c r="G88" s="37" t="n">
        <v>168</v>
      </c>
      <c r="H88" s="36" t="n">
        <f aca="false">IF(OR(E88=0,E88=""),"",E88/G88)</f>
        <v>804.214285714286</v>
      </c>
      <c r="I88" s="37" t="n">
        <v>390</v>
      </c>
      <c r="J88" s="36" t="n">
        <f aca="false">IF(OR(E88=0,E88=""),"",E88/I88)</f>
        <v>346.430769230769</v>
      </c>
      <c r="K88" s="36" t="n">
        <v>0</v>
      </c>
      <c r="L88" s="36" t="str">
        <f aca="false">IF(OR(K88=0,K88=""),"",K88/B88)</f>
        <v/>
      </c>
      <c r="M88" s="36" t="n">
        <v>0</v>
      </c>
      <c r="N88" s="36" t="str">
        <f aca="false">IF(OR(K88=0,K88=""),"",K88/M88)</f>
        <v/>
      </c>
      <c r="O88" s="36" t="n">
        <v>0</v>
      </c>
      <c r="P88" s="36" t="str">
        <f aca="false">IF(OR(K88=0,K88=""),"",K88/O88)</f>
        <v/>
      </c>
      <c r="Q88" s="36" t="n">
        <v>0</v>
      </c>
      <c r="R88" s="36"/>
      <c r="S88" s="35" t="str">
        <f aca="false">IF(OR(Q88=0,Q88=""),"",Q88/B88)</f>
        <v/>
      </c>
      <c r="T88" s="36" t="n">
        <v>0</v>
      </c>
      <c r="U88" s="35" t="str">
        <f aca="false">IF(OR(Q88=0,Q88=""),"",Q88/T88)</f>
        <v/>
      </c>
      <c r="V88" s="36" t="n">
        <v>0</v>
      </c>
      <c r="W88" s="35" t="str">
        <f aca="false">IF(OR(Q88=0,Q88=""),"",Q88/V88)</f>
        <v/>
      </c>
      <c r="X88" s="35" t="n">
        <f aca="false">MAX(G88,T88)+M88</f>
        <v>168</v>
      </c>
      <c r="Y88" s="35" t="n">
        <f aca="false">MAX(I88,V88)+O88</f>
        <v>390</v>
      </c>
      <c r="Z88" s="38"/>
    </row>
    <row r="89" customFormat="false" ht="15.75" hidden="false" customHeight="true" outlineLevel="0" collapsed="false">
      <c r="A89" s="39" t="s">
        <v>354</v>
      </c>
      <c r="B89" s="35" t="n">
        <v>40</v>
      </c>
      <c r="C89" s="36" t="n">
        <v>40</v>
      </c>
      <c r="D89" s="36"/>
      <c r="E89" s="35" t="n">
        <v>238302</v>
      </c>
      <c r="F89" s="36" t="n">
        <f aca="false">E89/B89</f>
        <v>5957.55</v>
      </c>
      <c r="G89" s="35" t="n">
        <v>294</v>
      </c>
      <c r="H89" s="36" t="n">
        <f aca="false">IF(OR(E89=0,E89=""),"",E89/G89)</f>
        <v>810.551020408163</v>
      </c>
      <c r="I89" s="35" t="n">
        <v>714</v>
      </c>
      <c r="J89" s="36" t="n">
        <f aca="false">IF(OR(E89=0,E89=""),"",E89/I89)</f>
        <v>333.756302521008</v>
      </c>
      <c r="K89" s="36" t="n">
        <v>0</v>
      </c>
      <c r="L89" s="36" t="str">
        <f aca="false">IF(OR(K89=0,K89=""),"",K89/B89)</f>
        <v/>
      </c>
      <c r="M89" s="36" t="n">
        <v>0</v>
      </c>
      <c r="N89" s="36" t="str">
        <f aca="false">IF(OR(K89=0,K89=""),"",K89/M89)</f>
        <v/>
      </c>
      <c r="O89" s="36" t="n">
        <v>0</v>
      </c>
      <c r="P89" s="36" t="str">
        <f aca="false">IF(OR(K89=0,K89=""),"",K89/O89)</f>
        <v/>
      </c>
      <c r="Q89" s="36" t="n">
        <v>0</v>
      </c>
      <c r="R89" s="36"/>
      <c r="S89" s="35" t="str">
        <f aca="false">IF(OR(Q89=0,Q89=""),"",Q89/B89)</f>
        <v/>
      </c>
      <c r="T89" s="36" t="n">
        <v>0</v>
      </c>
      <c r="U89" s="35" t="str">
        <f aca="false">IF(OR(Q89=0,Q89=""),"",Q89/T89)</f>
        <v/>
      </c>
      <c r="V89" s="36" t="n">
        <v>0</v>
      </c>
      <c r="W89" s="35" t="str">
        <f aca="false">IF(OR(Q89=0,Q89=""),"",Q89/V89)</f>
        <v/>
      </c>
      <c r="X89" s="35" t="n">
        <f aca="false">MAX(G89,T89)+M89</f>
        <v>294</v>
      </c>
      <c r="Y89" s="35" t="n">
        <f aca="false">MAX(I89,V89)+O89</f>
        <v>714</v>
      </c>
      <c r="Z89" s="40"/>
    </row>
    <row r="90" customFormat="false" ht="15.75" hidden="false" customHeight="true" outlineLevel="0" collapsed="false">
      <c r="A90" s="34" t="s">
        <v>355</v>
      </c>
      <c r="B90" s="35" t="n">
        <v>68</v>
      </c>
      <c r="C90" s="36" t="n">
        <v>68</v>
      </c>
      <c r="D90" s="36"/>
      <c r="E90" s="37" t="n">
        <v>432000</v>
      </c>
      <c r="F90" s="36" t="n">
        <f aca="false">E90/B90</f>
        <v>6352.94117647059</v>
      </c>
      <c r="G90" s="37" t="n">
        <v>534</v>
      </c>
      <c r="H90" s="36" t="n">
        <f aca="false">IF(OR(E90=0,E90=""),"",E90/G90)</f>
        <v>808.988764044944</v>
      </c>
      <c r="I90" s="37" t="n">
        <v>1362</v>
      </c>
      <c r="J90" s="36" t="n">
        <f aca="false">IF(OR(E90=0,E90=""),"",E90/I90)</f>
        <v>317.180616740088</v>
      </c>
      <c r="K90" s="36" t="n">
        <v>0</v>
      </c>
      <c r="L90" s="36" t="str">
        <f aca="false">IF(OR(K90=0,K90=""),"",K90/B90)</f>
        <v/>
      </c>
      <c r="M90" s="36" t="n">
        <v>0</v>
      </c>
      <c r="N90" s="36" t="str">
        <f aca="false">IF(OR(K90=0,K90=""),"",K90/M90)</f>
        <v/>
      </c>
      <c r="O90" s="36" t="n">
        <v>0</v>
      </c>
      <c r="P90" s="36" t="str">
        <f aca="false">IF(OR(K90=0,K90=""),"",K90/O90)</f>
        <v/>
      </c>
      <c r="Q90" s="36" t="n">
        <v>0</v>
      </c>
      <c r="R90" s="36"/>
      <c r="S90" s="35" t="str">
        <f aca="false">IF(OR(Q90=0,Q90=""),"",Q90/B90)</f>
        <v/>
      </c>
      <c r="T90" s="36" t="n">
        <v>0</v>
      </c>
      <c r="U90" s="35" t="str">
        <f aca="false">IF(OR(Q90=0,Q90=""),"",Q90/T90)</f>
        <v/>
      </c>
      <c r="V90" s="36" t="n">
        <v>0</v>
      </c>
      <c r="W90" s="35" t="str">
        <f aca="false">IF(OR(Q90=0,Q90=""),"",Q90/V90)</f>
        <v/>
      </c>
      <c r="X90" s="35" t="n">
        <f aca="false">MAX(G90,T90)+M90</f>
        <v>534</v>
      </c>
      <c r="Y90" s="35" t="n">
        <f aca="false">MAX(I90,V90)+O90</f>
        <v>1362</v>
      </c>
      <c r="Z90" s="38"/>
    </row>
    <row r="91" customFormat="false" ht="15.75" hidden="false" customHeight="true" outlineLevel="0" collapsed="false">
      <c r="A91" s="39" t="s">
        <v>356</v>
      </c>
      <c r="B91" s="35" t="n">
        <v>118</v>
      </c>
      <c r="C91" s="36" t="n">
        <v>118</v>
      </c>
      <c r="D91" s="36"/>
      <c r="E91" s="35" t="n">
        <v>806760</v>
      </c>
      <c r="F91" s="36" t="n">
        <f aca="false">E91/B91</f>
        <v>6836.94915254237</v>
      </c>
      <c r="G91" s="35" t="n">
        <v>948</v>
      </c>
      <c r="H91" s="36" t="n">
        <f aca="false">IF(OR(E91=0,E91=""),"",E91/G91)</f>
        <v>851.012658227848</v>
      </c>
      <c r="I91" s="35" t="n">
        <v>2556</v>
      </c>
      <c r="J91" s="36" t="n">
        <f aca="false">IF(OR(E91=0,E91=""),"",E91/I91)</f>
        <v>315.633802816901</v>
      </c>
      <c r="K91" s="36" t="n">
        <v>0</v>
      </c>
      <c r="L91" s="36" t="str">
        <f aca="false">IF(OR(K91=0,K91=""),"",K91/B91)</f>
        <v/>
      </c>
      <c r="M91" s="36" t="n">
        <v>0</v>
      </c>
      <c r="N91" s="36" t="str">
        <f aca="false">IF(OR(K91=0,K91=""),"",K91/M91)</f>
        <v/>
      </c>
      <c r="O91" s="36" t="n">
        <v>0</v>
      </c>
      <c r="P91" s="36" t="str">
        <f aca="false">IF(OR(K91=0,K91=""),"",K91/O91)</f>
        <v/>
      </c>
      <c r="Q91" s="36" t="n">
        <v>0</v>
      </c>
      <c r="R91" s="36"/>
      <c r="S91" s="35" t="str">
        <f aca="false">IF(OR(Q91=0,Q91=""),"",Q91/B91)</f>
        <v/>
      </c>
      <c r="T91" s="36" t="n">
        <v>0</v>
      </c>
      <c r="U91" s="35" t="str">
        <f aca="false">IF(OR(Q91=0,Q91=""),"",Q91/T91)</f>
        <v/>
      </c>
      <c r="V91" s="36" t="n">
        <v>0</v>
      </c>
      <c r="W91" s="35" t="str">
        <f aca="false">IF(OR(Q91=0,Q91=""),"",Q91/V91)</f>
        <v/>
      </c>
      <c r="X91" s="35" t="n">
        <f aca="false">MAX(G91,T91)+M91</f>
        <v>948</v>
      </c>
      <c r="Y91" s="35" t="n">
        <f aca="false">MAX(I91,V91)+O91</f>
        <v>2556</v>
      </c>
      <c r="Z91" s="40"/>
    </row>
    <row r="92" customFormat="false" ht="15.75" hidden="false" customHeight="true" outlineLevel="0" collapsed="false">
      <c r="A92" s="34" t="s">
        <v>357</v>
      </c>
      <c r="B92" s="35" t="n">
        <v>9</v>
      </c>
      <c r="C92" s="36" t="n">
        <v>9</v>
      </c>
      <c r="D92" s="36"/>
      <c r="E92" s="36" t="n">
        <v>0</v>
      </c>
      <c r="F92" s="36" t="n">
        <f aca="false">E92/B92</f>
        <v>0</v>
      </c>
      <c r="G92" s="36" t="n">
        <v>0</v>
      </c>
      <c r="H92" s="36" t="str">
        <f aca="false">IF(OR(E92=0,E92=""),"",E92/G92)</f>
        <v/>
      </c>
      <c r="I92" s="36" t="n">
        <v>0</v>
      </c>
      <c r="J92" s="36" t="str">
        <f aca="false">IF(OR(E92=0,E92=""),"",E92/I92)</f>
        <v/>
      </c>
      <c r="K92" s="37" t="n">
        <v>16290</v>
      </c>
      <c r="L92" s="36" t="n">
        <f aca="false">IF(OR(K92=0,K92=""),"",K92/B92)</f>
        <v>1810</v>
      </c>
      <c r="M92" s="37" t="n">
        <v>18</v>
      </c>
      <c r="N92" s="36" t="n">
        <f aca="false">IF(OR(K92=0,K92=""),"",K92/M92)</f>
        <v>905</v>
      </c>
      <c r="O92" s="37" t="n">
        <v>-24</v>
      </c>
      <c r="P92" s="36" t="n">
        <f aca="false">IF(OR(K92=0,K92=""),"",K92/O92)</f>
        <v>-678.75</v>
      </c>
      <c r="Q92" s="36" t="n">
        <v>0</v>
      </c>
      <c r="R92" s="36"/>
      <c r="S92" s="35" t="str">
        <f aca="false">IF(OR(Q92=0,Q92=""),"",Q92/B92)</f>
        <v/>
      </c>
      <c r="T92" s="36" t="n">
        <v>0</v>
      </c>
      <c r="U92" s="35" t="str">
        <f aca="false">IF(OR(Q92=0,Q92=""),"",Q92/T92)</f>
        <v/>
      </c>
      <c r="V92" s="36" t="n">
        <v>0</v>
      </c>
      <c r="W92" s="35" t="str">
        <f aca="false">IF(OR(Q92=0,Q92=""),"",Q92/V92)</f>
        <v/>
      </c>
      <c r="X92" s="35" t="n">
        <f aca="false">MAX(G92,T92)+M92</f>
        <v>18</v>
      </c>
      <c r="Y92" s="35" t="n">
        <f aca="false">MAX(I92,V92)+O92</f>
        <v>-24</v>
      </c>
      <c r="Z92" s="38"/>
    </row>
    <row r="93" customFormat="false" ht="15.75" hidden="false" customHeight="true" outlineLevel="0" collapsed="false">
      <c r="A93" s="34" t="s">
        <v>358</v>
      </c>
      <c r="B93" s="35" t="n">
        <v>12</v>
      </c>
      <c r="C93" s="36" t="n">
        <v>12</v>
      </c>
      <c r="D93" s="36"/>
      <c r="E93" s="37" t="n">
        <v>47520</v>
      </c>
      <c r="F93" s="36" t="n">
        <f aca="false">E93/B93</f>
        <v>3960</v>
      </c>
      <c r="G93" s="37" t="n">
        <v>33</v>
      </c>
      <c r="H93" s="36" t="n">
        <f aca="false">IF(OR(E93=0,E93=""),"",E93/G93)</f>
        <v>1440</v>
      </c>
      <c r="I93" s="37" t="n">
        <v>-39</v>
      </c>
      <c r="J93" s="36" t="n">
        <f aca="false">IF(OR(E93=0,E93=""),"",E93/I93)</f>
        <v>-1218.46153846154</v>
      </c>
      <c r="K93" s="36" t="n">
        <v>0</v>
      </c>
      <c r="L93" s="36" t="str">
        <f aca="false">IF(OR(K93=0,K93=""),"",K93/B93)</f>
        <v/>
      </c>
      <c r="M93" s="36" t="n">
        <v>0</v>
      </c>
      <c r="N93" s="36" t="str">
        <f aca="false">IF(OR(K93=0,K93=""),"",K93/M93)</f>
        <v/>
      </c>
      <c r="O93" s="36" t="n">
        <v>0</v>
      </c>
      <c r="P93" s="36" t="str">
        <f aca="false">IF(OR(K93=0,K93=""),"",K93/O93)</f>
        <v/>
      </c>
      <c r="Q93" s="36" t="n">
        <v>0</v>
      </c>
      <c r="R93" s="36"/>
      <c r="S93" s="35" t="str">
        <f aca="false">IF(OR(Q93=0,Q93=""),"",Q93/B93)</f>
        <v/>
      </c>
      <c r="T93" s="36" t="n">
        <v>0</v>
      </c>
      <c r="U93" s="35" t="str">
        <f aca="false">IF(OR(Q93=0,Q93=""),"",Q93/T93)</f>
        <v/>
      </c>
      <c r="V93" s="36" t="n">
        <v>0</v>
      </c>
      <c r="W93" s="35" t="str">
        <f aca="false">IF(OR(Q93=0,Q93=""),"",Q93/V93)</f>
        <v/>
      </c>
      <c r="X93" s="35" t="n">
        <f aca="false">MAX(G93,T93)+M93</f>
        <v>33</v>
      </c>
      <c r="Y93" s="35" t="n">
        <f aca="false">MAX(I93,V93)+O93</f>
        <v>0</v>
      </c>
      <c r="Z93" s="38"/>
    </row>
    <row r="94" customFormat="false" ht="15.75" hidden="false" customHeight="true" outlineLevel="0" collapsed="false">
      <c r="A94" s="39" t="s">
        <v>359</v>
      </c>
      <c r="B94" s="35" t="n">
        <v>20</v>
      </c>
      <c r="C94" s="36" t="n">
        <v>20</v>
      </c>
      <c r="D94" s="36"/>
      <c r="E94" s="36" t="n">
        <v>0</v>
      </c>
      <c r="F94" s="36" t="n">
        <f aca="false">E94/B94</f>
        <v>0</v>
      </c>
      <c r="G94" s="36" t="n">
        <v>0</v>
      </c>
      <c r="H94" s="36" t="str">
        <f aca="false">IF(OR(E94=0,E94=""),"",E94/G94)</f>
        <v/>
      </c>
      <c r="I94" s="36" t="n">
        <v>0</v>
      </c>
      <c r="J94" s="36" t="str">
        <f aca="false">IF(OR(E94=0,E94=""),"",E94/I94)</f>
        <v/>
      </c>
      <c r="K94" s="35" t="n">
        <v>42840</v>
      </c>
      <c r="L94" s="36" t="n">
        <f aca="false">IF(OR(K94=0,K94=""),"",K94/B94)</f>
        <v>2142</v>
      </c>
      <c r="M94" s="35" t="n">
        <v>42</v>
      </c>
      <c r="N94" s="36" t="n">
        <f aca="false">IF(OR(K94=0,K94=""),"",K94/M94)</f>
        <v>1020</v>
      </c>
      <c r="O94" s="35" t="n">
        <v>-36</v>
      </c>
      <c r="P94" s="36" t="n">
        <f aca="false">IF(OR(K94=0,K94=""),"",K94/O94)</f>
        <v>-1190</v>
      </c>
      <c r="Q94" s="36" t="n">
        <v>0</v>
      </c>
      <c r="R94" s="36"/>
      <c r="S94" s="35" t="str">
        <f aca="false">IF(OR(Q94=0,Q94=""),"",Q94/B94)</f>
        <v/>
      </c>
      <c r="T94" s="36" t="n">
        <v>0</v>
      </c>
      <c r="U94" s="35" t="str">
        <f aca="false">IF(OR(Q94=0,Q94=""),"",Q94/T94)</f>
        <v/>
      </c>
      <c r="V94" s="36" t="n">
        <v>0</v>
      </c>
      <c r="W94" s="35" t="str">
        <f aca="false">IF(OR(Q94=0,Q94=""),"",Q94/V94)</f>
        <v/>
      </c>
      <c r="X94" s="35" t="n">
        <f aca="false">MAX(G94,T94)+M94</f>
        <v>42</v>
      </c>
      <c r="Y94" s="35" t="n">
        <f aca="false">MAX(I94,V94)+O94</f>
        <v>-36</v>
      </c>
      <c r="Z94" s="40"/>
    </row>
    <row r="95" customFormat="false" ht="15.75" hidden="false" customHeight="true" outlineLevel="0" collapsed="false">
      <c r="A95" s="39" t="s">
        <v>360</v>
      </c>
      <c r="B95" s="35" t="n">
        <v>27</v>
      </c>
      <c r="C95" s="36" t="n">
        <v>27</v>
      </c>
      <c r="D95" s="36"/>
      <c r="E95" s="35" t="n">
        <v>115020</v>
      </c>
      <c r="F95" s="36" t="n">
        <f aca="false">E95/B95</f>
        <v>4260</v>
      </c>
      <c r="G95" s="35" t="n">
        <v>78</v>
      </c>
      <c r="H95" s="36" t="n">
        <f aca="false">IF(OR(E95=0,E95=""),"",E95/G95)</f>
        <v>1474.61538461538</v>
      </c>
      <c r="I95" s="35" t="n">
        <v>-72</v>
      </c>
      <c r="J95" s="36" t="n">
        <f aca="false">IF(OR(E95=0,E95=""),"",E95/I95)</f>
        <v>-1597.5</v>
      </c>
      <c r="K95" s="36" t="n">
        <v>0</v>
      </c>
      <c r="L95" s="36" t="str">
        <f aca="false">IF(OR(K95=0,K95=""),"",K95/B95)</f>
        <v/>
      </c>
      <c r="M95" s="36" t="n">
        <v>0</v>
      </c>
      <c r="N95" s="36" t="str">
        <f aca="false">IF(OR(K95=0,K95=""),"",K95/M95)</f>
        <v/>
      </c>
      <c r="O95" s="36" t="n">
        <v>0</v>
      </c>
      <c r="P95" s="36" t="str">
        <f aca="false">IF(OR(K95=0,K95=""),"",K95/O95)</f>
        <v/>
      </c>
      <c r="Q95" s="36" t="n">
        <v>0</v>
      </c>
      <c r="R95" s="36"/>
      <c r="S95" s="35" t="str">
        <f aca="false">IF(OR(Q95=0,Q95=""),"",Q95/B95)</f>
        <v/>
      </c>
      <c r="T95" s="36" t="n">
        <v>0</v>
      </c>
      <c r="U95" s="35" t="str">
        <f aca="false">IF(OR(Q95=0,Q95=""),"",Q95/T95)</f>
        <v/>
      </c>
      <c r="V95" s="36" t="n">
        <v>0</v>
      </c>
      <c r="W95" s="35" t="str">
        <f aca="false">IF(OR(Q95=0,Q95=""),"",Q95/V95)</f>
        <v/>
      </c>
      <c r="X95" s="35" t="n">
        <f aca="false">MAX(G95,T95)+M95</f>
        <v>78</v>
      </c>
      <c r="Y95" s="35" t="n">
        <f aca="false">MAX(I95,V95)+O95</f>
        <v>0</v>
      </c>
      <c r="Z95" s="40"/>
    </row>
    <row r="96" customFormat="false" ht="15.75" hidden="false" customHeight="true" outlineLevel="0" collapsed="false">
      <c r="A96" s="34" t="s">
        <v>361</v>
      </c>
      <c r="B96" s="35" t="n">
        <v>30</v>
      </c>
      <c r="C96" s="36" t="n">
        <v>30</v>
      </c>
      <c r="D96" s="36"/>
      <c r="E96" s="36" t="n">
        <v>0</v>
      </c>
      <c r="F96" s="36" t="n">
        <f aca="false">E96/B96</f>
        <v>0</v>
      </c>
      <c r="G96" s="36" t="n">
        <v>0</v>
      </c>
      <c r="H96" s="36" t="str">
        <f aca="false">IF(OR(E96=0,E96=""),"",E96/G96)</f>
        <v/>
      </c>
      <c r="I96" s="36" t="n">
        <v>0</v>
      </c>
      <c r="J96" s="36" t="str">
        <f aca="false">IF(OR(E96=0,E96=""),"",E96/I96)</f>
        <v/>
      </c>
      <c r="K96" s="37" t="n">
        <v>74250</v>
      </c>
      <c r="L96" s="36" t="n">
        <f aca="false">IF(OR(K96=0,K96=""),"",K96/B96)</f>
        <v>2475</v>
      </c>
      <c r="M96" s="37" t="n">
        <v>72</v>
      </c>
      <c r="N96" s="36" t="n">
        <f aca="false">IF(OR(K96=0,K96=""),"",K96/M96)</f>
        <v>1031.25</v>
      </c>
      <c r="O96" s="37" t="n">
        <v>-78</v>
      </c>
      <c r="P96" s="36" t="n">
        <f aca="false">IF(OR(K96=0,K96=""),"",K96/O96)</f>
        <v>-951.923076923077</v>
      </c>
      <c r="Q96" s="36" t="n">
        <v>0</v>
      </c>
      <c r="R96" s="36"/>
      <c r="S96" s="35" t="str">
        <f aca="false">IF(OR(Q96=0,Q96=""),"",Q96/B96)</f>
        <v/>
      </c>
      <c r="T96" s="36" t="n">
        <v>0</v>
      </c>
      <c r="U96" s="35" t="str">
        <f aca="false">IF(OR(Q96=0,Q96=""),"",Q96/T96)</f>
        <v/>
      </c>
      <c r="V96" s="36" t="n">
        <v>0</v>
      </c>
      <c r="W96" s="35" t="str">
        <f aca="false">IF(OR(Q96=0,Q96=""),"",Q96/V96)</f>
        <v/>
      </c>
      <c r="X96" s="35" t="n">
        <f aca="false">MAX(G96,T96)+M96</f>
        <v>72</v>
      </c>
      <c r="Y96" s="35" t="n">
        <f aca="false">MAX(I96,V96)+O96</f>
        <v>-78</v>
      </c>
      <c r="Z96" s="38"/>
    </row>
    <row r="97" customFormat="false" ht="15.75" hidden="false" customHeight="true" outlineLevel="0" collapsed="false">
      <c r="A97" s="34" t="s">
        <v>362</v>
      </c>
      <c r="B97" s="35" t="n">
        <v>42</v>
      </c>
      <c r="C97" s="36" t="n">
        <v>42</v>
      </c>
      <c r="D97" s="36"/>
      <c r="E97" s="37" t="n">
        <v>190512</v>
      </c>
      <c r="F97" s="36" t="n">
        <f aca="false">E97/B97</f>
        <v>4536</v>
      </c>
      <c r="G97" s="37" t="n">
        <v>132</v>
      </c>
      <c r="H97" s="36" t="n">
        <f aca="false">IF(OR(E97=0,E97=""),"",E97/G97)</f>
        <v>1443.27272727273</v>
      </c>
      <c r="I97" s="37" t="n">
        <v>-132</v>
      </c>
      <c r="J97" s="36" t="n">
        <f aca="false">IF(OR(E97=0,E97=""),"",E97/I97)</f>
        <v>-1443.27272727273</v>
      </c>
      <c r="K97" s="36" t="n">
        <v>0</v>
      </c>
      <c r="L97" s="36" t="str">
        <f aca="false">IF(OR(K97=0,K97=""),"",K97/B97)</f>
        <v/>
      </c>
      <c r="M97" s="36" t="n">
        <v>0</v>
      </c>
      <c r="N97" s="36" t="str">
        <f aca="false">IF(OR(K97=0,K97=""),"",K97/M97)</f>
        <v/>
      </c>
      <c r="O97" s="36" t="n">
        <v>0</v>
      </c>
      <c r="P97" s="36" t="str">
        <f aca="false">IF(OR(K97=0,K97=""),"",K97/O97)</f>
        <v/>
      </c>
      <c r="Q97" s="36" t="n">
        <v>0</v>
      </c>
      <c r="R97" s="36"/>
      <c r="S97" s="35" t="str">
        <f aca="false">IF(OR(Q97=0,Q97=""),"",Q97/B97)</f>
        <v/>
      </c>
      <c r="T97" s="36" t="n">
        <v>0</v>
      </c>
      <c r="U97" s="35" t="str">
        <f aca="false">IF(OR(Q97=0,Q97=""),"",Q97/T97)</f>
        <v/>
      </c>
      <c r="V97" s="36" t="n">
        <v>0</v>
      </c>
      <c r="W97" s="35" t="str">
        <f aca="false">IF(OR(Q97=0,Q97=""),"",Q97/V97)</f>
        <v/>
      </c>
      <c r="X97" s="35" t="n">
        <f aca="false">MAX(G97,T97)+M97</f>
        <v>132</v>
      </c>
      <c r="Y97" s="35" t="n">
        <f aca="false">MAX(I97,V97)+O97</f>
        <v>0</v>
      </c>
      <c r="Z97" s="38"/>
    </row>
    <row r="98" customFormat="false" ht="15.75" hidden="false" customHeight="true" outlineLevel="0" collapsed="false">
      <c r="A98" s="39" t="s">
        <v>363</v>
      </c>
      <c r="B98" s="35" t="n">
        <v>47</v>
      </c>
      <c r="C98" s="36" t="n">
        <v>47</v>
      </c>
      <c r="D98" s="36"/>
      <c r="E98" s="36" t="n">
        <v>0</v>
      </c>
      <c r="F98" s="36" t="n">
        <f aca="false">E98/B98</f>
        <v>0</v>
      </c>
      <c r="G98" s="36" t="n">
        <v>0</v>
      </c>
      <c r="H98" s="36" t="str">
        <f aca="false">IF(OR(E98=0,E98=""),"",E98/G98)</f>
        <v/>
      </c>
      <c r="I98" s="36" t="n">
        <v>0</v>
      </c>
      <c r="J98" s="36" t="str">
        <f aca="false">IF(OR(E98=0,E98=""),"",E98/I98)</f>
        <v/>
      </c>
      <c r="K98" s="35" t="n">
        <v>131940</v>
      </c>
      <c r="L98" s="36" t="n">
        <f aca="false">IF(OR(K98=0,K98=""),"",K98/B98)</f>
        <v>2807.23404255319</v>
      </c>
      <c r="M98" s="35" t="n">
        <v>120</v>
      </c>
      <c r="N98" s="36" t="n">
        <f aca="false">IF(OR(K98=0,K98=""),"",K98/M98)</f>
        <v>1099.5</v>
      </c>
      <c r="O98" s="35" t="n">
        <v>-132</v>
      </c>
      <c r="P98" s="36" t="n">
        <f aca="false">IF(OR(K98=0,K98=""),"",K98/O98)</f>
        <v>-999.545454545455</v>
      </c>
      <c r="Q98" s="36" t="n">
        <v>0</v>
      </c>
      <c r="R98" s="36"/>
      <c r="S98" s="35" t="str">
        <f aca="false">IF(OR(Q98=0,Q98=""),"",Q98/B98)</f>
        <v/>
      </c>
      <c r="T98" s="36" t="n">
        <v>0</v>
      </c>
      <c r="U98" s="35" t="str">
        <f aca="false">IF(OR(Q98=0,Q98=""),"",Q98/T98)</f>
        <v/>
      </c>
      <c r="V98" s="36" t="n">
        <v>0</v>
      </c>
      <c r="W98" s="35" t="str">
        <f aca="false">IF(OR(Q98=0,Q98=""),"",Q98/V98)</f>
        <v/>
      </c>
      <c r="X98" s="35" t="n">
        <f aca="false">MAX(G98,T98)+M98</f>
        <v>120</v>
      </c>
      <c r="Y98" s="35" t="n">
        <f aca="false">MAX(I98,V98)+O98</f>
        <v>-132</v>
      </c>
      <c r="Z98" s="40"/>
    </row>
    <row r="99" customFormat="false" ht="15.75" hidden="false" customHeight="true" outlineLevel="0" collapsed="false">
      <c r="A99" s="39" t="s">
        <v>364</v>
      </c>
      <c r="B99" s="35" t="n">
        <v>65</v>
      </c>
      <c r="C99" s="36" t="n">
        <v>65</v>
      </c>
      <c r="D99" s="36"/>
      <c r="E99" s="35" t="n">
        <v>313200</v>
      </c>
      <c r="F99" s="36" t="n">
        <f aca="false">E99/B99</f>
        <v>4818.46153846154</v>
      </c>
      <c r="G99" s="35" t="n">
        <v>222</v>
      </c>
      <c r="H99" s="36" t="n">
        <f aca="false">IF(OR(E99=0,E99=""),"",E99/G99)</f>
        <v>1410.81081081081</v>
      </c>
      <c r="I99" s="35" t="n">
        <v>-246</v>
      </c>
      <c r="J99" s="36" t="n">
        <f aca="false">IF(OR(E99=0,E99=""),"",E99/I99)</f>
        <v>-1273.17073170732</v>
      </c>
      <c r="K99" s="36" t="n">
        <v>0</v>
      </c>
      <c r="L99" s="36" t="str">
        <f aca="false">IF(OR(K99=0,K99=""),"",K99/B99)</f>
        <v/>
      </c>
      <c r="M99" s="36" t="n">
        <v>0</v>
      </c>
      <c r="N99" s="36" t="str">
        <f aca="false">IF(OR(K99=0,K99=""),"",K99/M99)</f>
        <v/>
      </c>
      <c r="O99" s="36" t="n">
        <v>0</v>
      </c>
      <c r="P99" s="36" t="str">
        <f aca="false">IF(OR(K99=0,K99=""),"",K99/O99)</f>
        <v/>
      </c>
      <c r="Q99" s="36" t="n">
        <v>0</v>
      </c>
      <c r="R99" s="36"/>
      <c r="S99" s="35" t="str">
        <f aca="false">IF(OR(Q99=0,Q99=""),"",Q99/B99)</f>
        <v/>
      </c>
      <c r="T99" s="36" t="n">
        <v>0</v>
      </c>
      <c r="U99" s="35" t="str">
        <f aca="false">IF(OR(Q99=0,Q99=""),"",Q99/T99)</f>
        <v/>
      </c>
      <c r="V99" s="36" t="n">
        <v>0</v>
      </c>
      <c r="W99" s="35" t="str">
        <f aca="false">IF(OR(Q99=0,Q99=""),"",Q99/V99)</f>
        <v/>
      </c>
      <c r="X99" s="35" t="n">
        <f aca="false">MAX(G99,T99)+M99</f>
        <v>222</v>
      </c>
      <c r="Y99" s="35" t="n">
        <f aca="false">MAX(I99,V99)+O99</f>
        <v>0</v>
      </c>
      <c r="Z99" s="40"/>
    </row>
    <row r="100" customFormat="false" ht="15.75" hidden="false" customHeight="true" outlineLevel="0" collapsed="false">
      <c r="A100" s="34" t="s">
        <v>365</v>
      </c>
      <c r="B100" s="35" t="n">
        <v>101</v>
      </c>
      <c r="C100" s="36" t="n">
        <v>101</v>
      </c>
      <c r="D100" s="36"/>
      <c r="E100" s="36" t="n">
        <v>0</v>
      </c>
      <c r="F100" s="36" t="n">
        <f aca="false">E100/B100</f>
        <v>0</v>
      </c>
      <c r="G100" s="36" t="n">
        <v>0</v>
      </c>
      <c r="H100" s="36" t="str">
        <f aca="false">IF(OR(E100=0,E100=""),"",E100/G100)</f>
        <v/>
      </c>
      <c r="I100" s="36" t="n">
        <v>0</v>
      </c>
      <c r="J100" s="36" t="str">
        <f aca="false">IF(OR(E100=0,E100=""),"",E100/I100)</f>
        <v/>
      </c>
      <c r="K100" s="37" t="n">
        <v>319410</v>
      </c>
      <c r="L100" s="36" t="n">
        <f aca="false">IF(OR(K100=0,K100=""),"",K100/B100)</f>
        <v>3162.47524752475</v>
      </c>
      <c r="M100" s="37" t="n">
        <v>264</v>
      </c>
      <c r="N100" s="36" t="n">
        <f aca="false">IF(OR(K100=0,K100=""),"",K100/M100)</f>
        <v>1209.88636363636</v>
      </c>
      <c r="O100" s="37" t="n">
        <v>750</v>
      </c>
      <c r="P100" s="36" t="n">
        <f aca="false">IF(OR(K100=0,K100=""),"",K100/O100)</f>
        <v>425.88</v>
      </c>
      <c r="Q100" s="36" t="n">
        <v>0</v>
      </c>
      <c r="R100" s="36"/>
      <c r="S100" s="35" t="str">
        <f aca="false">IF(OR(Q100=0,Q100=""),"",Q100/B100)</f>
        <v/>
      </c>
      <c r="T100" s="36" t="n">
        <v>0</v>
      </c>
      <c r="U100" s="35" t="str">
        <f aca="false">IF(OR(Q100=0,Q100=""),"",Q100/T100)</f>
        <v/>
      </c>
      <c r="V100" s="36" t="n">
        <v>0</v>
      </c>
      <c r="W100" s="35" t="str">
        <f aca="false">IF(OR(Q100=0,Q100=""),"",Q100/V100)</f>
        <v/>
      </c>
      <c r="X100" s="35" t="n">
        <f aca="false">MAX(G100,T100)+M100</f>
        <v>264</v>
      </c>
      <c r="Y100" s="35" t="n">
        <f aca="false">MAX(I100,V100)+O100</f>
        <v>750</v>
      </c>
      <c r="Z100" s="38"/>
    </row>
    <row r="101" customFormat="false" ht="15.75" hidden="false" customHeight="true" outlineLevel="0" collapsed="false">
      <c r="A101" s="34" t="s">
        <v>366</v>
      </c>
      <c r="B101" s="35" t="n">
        <v>129</v>
      </c>
      <c r="C101" s="36" t="n">
        <v>129</v>
      </c>
      <c r="D101" s="36"/>
      <c r="E101" s="37" t="n">
        <v>648810</v>
      </c>
      <c r="F101" s="36" t="n">
        <f aca="false">E101/B101</f>
        <v>5029.53488372093</v>
      </c>
      <c r="G101" s="37" t="n">
        <v>516</v>
      </c>
      <c r="H101" s="36" t="n">
        <f aca="false">IF(OR(E101=0,E101=""),"",E101/G101)</f>
        <v>1257.38372093023</v>
      </c>
      <c r="I101" s="37" t="n">
        <v>1146</v>
      </c>
      <c r="J101" s="36" t="n">
        <f aca="false">IF(OR(E101=0,E101=""),"",E101/I101)</f>
        <v>566.151832460733</v>
      </c>
      <c r="K101" s="36" t="n">
        <v>0</v>
      </c>
      <c r="L101" s="36" t="str">
        <f aca="false">IF(OR(K101=0,K101=""),"",K101/B101)</f>
        <v/>
      </c>
      <c r="M101" s="36" t="n">
        <v>0</v>
      </c>
      <c r="N101" s="36" t="str">
        <f aca="false">IF(OR(K101=0,K101=""),"",K101/M101)</f>
        <v/>
      </c>
      <c r="O101" s="36" t="n">
        <v>0</v>
      </c>
      <c r="P101" s="36" t="str">
        <f aca="false">IF(OR(K101=0,K101=""),"",K101/O101)</f>
        <v/>
      </c>
      <c r="Q101" s="36" t="n">
        <v>0</v>
      </c>
      <c r="R101" s="36"/>
      <c r="S101" s="35" t="str">
        <f aca="false">IF(OR(Q101=0,Q101=""),"",Q101/B101)</f>
        <v/>
      </c>
      <c r="T101" s="36" t="n">
        <v>0</v>
      </c>
      <c r="U101" s="35" t="str">
        <f aca="false">IF(OR(Q101=0,Q101=""),"",Q101/T101)</f>
        <v/>
      </c>
      <c r="V101" s="36" t="n">
        <v>0</v>
      </c>
      <c r="W101" s="35" t="str">
        <f aca="false">IF(OR(Q101=0,Q101=""),"",Q101/V101)</f>
        <v/>
      </c>
      <c r="X101" s="35" t="n">
        <f aca="false">MAX(G101,T101)+M101</f>
        <v>516</v>
      </c>
      <c r="Y101" s="35" t="n">
        <f aca="false">MAX(I101,V101)+O101</f>
        <v>1146</v>
      </c>
      <c r="Z101" s="38"/>
    </row>
    <row r="102" customFormat="false" ht="15.75" hidden="false" customHeight="true" outlineLevel="0" collapsed="false">
      <c r="A102" s="34" t="s">
        <v>367</v>
      </c>
      <c r="B102" s="35" t="n">
        <v>24</v>
      </c>
      <c r="C102" s="36" t="n">
        <v>24</v>
      </c>
      <c r="D102" s="36"/>
      <c r="E102" s="37" t="n">
        <v>86400</v>
      </c>
      <c r="F102" s="36" t="n">
        <f aca="false">E102/B102</f>
        <v>3600</v>
      </c>
      <c r="G102" s="37" t="n">
        <v>0</v>
      </c>
      <c r="H102" s="36" t="e">
        <f aca="false">IF(OR(E102=0,E102=""),"",E102/G102)</f>
        <v>#DIV/0!</v>
      </c>
      <c r="I102" s="37" t="n">
        <v>180</v>
      </c>
      <c r="J102" s="36" t="n">
        <f aca="false">IF(OR(E102=0,E102=""),"",E102/I102)</f>
        <v>480</v>
      </c>
      <c r="K102" s="36" t="n">
        <v>0</v>
      </c>
      <c r="L102" s="36" t="str">
        <f aca="false">IF(OR(K102=0,K102=""),"",K102/B102)</f>
        <v/>
      </c>
      <c r="M102" s="36" t="n">
        <v>0</v>
      </c>
      <c r="N102" s="36" t="str">
        <f aca="false">IF(OR(K102=0,K102=""),"",K102/M102)</f>
        <v/>
      </c>
      <c r="O102" s="36" t="n">
        <v>0</v>
      </c>
      <c r="P102" s="36" t="str">
        <f aca="false">IF(OR(K102=0,K102=""),"",K102/O102)</f>
        <v/>
      </c>
      <c r="Q102" s="36" t="n">
        <v>0</v>
      </c>
      <c r="R102" s="36"/>
      <c r="S102" s="35" t="str">
        <f aca="false">IF(OR(Q102=0,Q102=""),"",Q102/B102)</f>
        <v/>
      </c>
      <c r="T102" s="36" t="n">
        <v>0</v>
      </c>
      <c r="U102" s="35" t="str">
        <f aca="false">IF(OR(Q102=0,Q102=""),"",Q102/T102)</f>
        <v/>
      </c>
      <c r="V102" s="36" t="n">
        <v>0</v>
      </c>
      <c r="W102" s="35" t="str">
        <f aca="false">IF(OR(Q102=0,Q102=""),"",Q102/V102)</f>
        <v/>
      </c>
      <c r="X102" s="35" t="n">
        <f aca="false">MAX(G102,T102)+M102</f>
        <v>0</v>
      </c>
      <c r="Y102" s="35" t="n">
        <f aca="false">MAX(I102,V102)+O102</f>
        <v>180</v>
      </c>
      <c r="Z102" s="38"/>
    </row>
    <row r="103" customFormat="false" ht="15.75" hidden="false" customHeight="true" outlineLevel="0" collapsed="false">
      <c r="A103" s="34" t="s">
        <v>368</v>
      </c>
      <c r="B103" s="35" t="n">
        <v>168</v>
      </c>
      <c r="C103" s="36" t="n">
        <v>137</v>
      </c>
      <c r="D103" s="36"/>
      <c r="E103" s="37" t="n">
        <v>507060</v>
      </c>
      <c r="F103" s="36" t="n">
        <f aca="false">E103/B103</f>
        <v>3018.21428571429</v>
      </c>
      <c r="G103" s="36" t="n">
        <v>654</v>
      </c>
      <c r="H103" s="36" t="n">
        <f aca="false">IF(OR(E103=0,E103=""),"",E103/G103)</f>
        <v>775.321100917431</v>
      </c>
      <c r="I103" s="37" t="n">
        <v>556.8</v>
      </c>
      <c r="J103" s="36" t="n">
        <f aca="false">IF(OR(E103=0,E103=""),"",E103/I103)</f>
        <v>910.668103448276</v>
      </c>
      <c r="K103" s="37" t="n">
        <v>210051</v>
      </c>
      <c r="L103" s="36" t="n">
        <f aca="false">IF(OR(K103=0,K103=""),"",K103/B103)</f>
        <v>1250.30357142857</v>
      </c>
      <c r="M103" s="36" t="n">
        <v>0</v>
      </c>
      <c r="N103" s="36" t="e">
        <f aca="false">IF(OR(K103=0,K103=""),"",K103/M103)</f>
        <v>#DIV/0!</v>
      </c>
      <c r="O103" s="37" t="n">
        <v>199.2</v>
      </c>
      <c r="P103" s="36" t="n">
        <f aca="false">IF(OR(K103=0,K103=""),"",K103/O103)</f>
        <v>1054.47289156627</v>
      </c>
      <c r="Q103" s="36" t="n">
        <v>0</v>
      </c>
      <c r="R103" s="36"/>
      <c r="S103" s="35" t="str">
        <f aca="false">IF(OR(Q103=0,Q103=""),"",Q103/B103)</f>
        <v/>
      </c>
      <c r="T103" s="36" t="n">
        <v>0</v>
      </c>
      <c r="U103" s="35" t="str">
        <f aca="false">IF(OR(Q103=0,Q103=""),"",Q103/T103)</f>
        <v/>
      </c>
      <c r="V103" s="36" t="n">
        <v>0</v>
      </c>
      <c r="W103" s="35" t="str">
        <f aca="false">IF(OR(Q103=0,Q103=""),"",Q103/V103)</f>
        <v/>
      </c>
      <c r="X103" s="35" t="n">
        <f aca="false">MAX(G103,T103)+M103</f>
        <v>654</v>
      </c>
      <c r="Y103" s="35" t="n">
        <f aca="false">MAX(I103,V103)+O103</f>
        <v>756</v>
      </c>
      <c r="Z103" s="38"/>
    </row>
    <row r="104" customFormat="false" ht="15.75" hidden="false" customHeight="true" outlineLevel="0" collapsed="false">
      <c r="A104" s="34" t="s">
        <v>369</v>
      </c>
      <c r="B104" s="35" t="n">
        <v>20</v>
      </c>
      <c r="C104" s="36" t="n">
        <v>20</v>
      </c>
      <c r="D104" s="36"/>
      <c r="E104" s="37" t="n">
        <v>33480</v>
      </c>
      <c r="F104" s="36" t="n">
        <f aca="false">E104/B104</f>
        <v>1674</v>
      </c>
      <c r="G104" s="37" t="n">
        <v>24</v>
      </c>
      <c r="H104" s="36" t="n">
        <f aca="false">IF(OR(E104=0,E104=""),"",E104/G104)</f>
        <v>1395</v>
      </c>
      <c r="I104" s="37" t="n">
        <v>36</v>
      </c>
      <c r="J104" s="36" t="n">
        <f aca="false">IF(OR(E104=0,E104=""),"",E104/I104)</f>
        <v>930</v>
      </c>
      <c r="K104" s="37" t="n">
        <v>11880</v>
      </c>
      <c r="L104" s="36" t="n">
        <f aca="false">IF(OR(K104=0,K104=""),"",K104/B104)</f>
        <v>594</v>
      </c>
      <c r="M104" s="37" t="n">
        <v>15</v>
      </c>
      <c r="N104" s="36" t="n">
        <f aca="false">IF(OR(K104=0,K104=""),"",K104/M104)</f>
        <v>792</v>
      </c>
      <c r="O104" s="37" t="n">
        <v>30</v>
      </c>
      <c r="P104" s="36" t="n">
        <f aca="false">IF(OR(K104=0,K104=""),"",K104/O104)</f>
        <v>396</v>
      </c>
      <c r="Q104" s="36" t="n">
        <v>0</v>
      </c>
      <c r="R104" s="36"/>
      <c r="S104" s="35" t="str">
        <f aca="false">IF(OR(Q104=0,Q104=""),"",Q104/B104)</f>
        <v/>
      </c>
      <c r="T104" s="36" t="n">
        <v>0</v>
      </c>
      <c r="U104" s="35" t="str">
        <f aca="false">IF(OR(Q104=0,Q104=""),"",Q104/T104)</f>
        <v/>
      </c>
      <c r="V104" s="36" t="n">
        <v>0</v>
      </c>
      <c r="W104" s="35" t="str">
        <f aca="false">IF(OR(Q104=0,Q104=""),"",Q104/V104)</f>
        <v/>
      </c>
      <c r="X104" s="35" t="n">
        <f aca="false">MAX(G104,T104)+M104</f>
        <v>39</v>
      </c>
      <c r="Y104" s="35" t="n">
        <f aca="false">MAX(I104,V104)+O104</f>
        <v>66</v>
      </c>
      <c r="Z104" s="38"/>
    </row>
    <row r="105" customFormat="false" ht="15.75" hidden="false" customHeight="true" outlineLevel="0" collapsed="false">
      <c r="A105" s="34" t="s">
        <v>370</v>
      </c>
      <c r="B105" s="35" t="n">
        <v>20</v>
      </c>
      <c r="C105" s="36" t="n">
        <v>20</v>
      </c>
      <c r="D105" s="36"/>
      <c r="E105" s="36" t="n">
        <v>0</v>
      </c>
      <c r="F105" s="36" t="n">
        <f aca="false">E105/B105</f>
        <v>0</v>
      </c>
      <c r="G105" s="36" t="n">
        <v>0</v>
      </c>
      <c r="H105" s="36" t="str">
        <f aca="false">IF(OR(E105=0,E105=""),"",E105/G105)</f>
        <v/>
      </c>
      <c r="I105" s="36" t="n">
        <v>0</v>
      </c>
      <c r="J105" s="36" t="str">
        <f aca="false">IF(OR(E105=0,E105=""),"",E105/I105)</f>
        <v/>
      </c>
      <c r="K105" s="37" t="n">
        <v>33120</v>
      </c>
      <c r="L105" s="36" t="n">
        <f aca="false">IF(OR(K105=0,K105=""),"",K105/B105)</f>
        <v>1656</v>
      </c>
      <c r="M105" s="37" t="n">
        <v>36</v>
      </c>
      <c r="N105" s="36" t="n">
        <f aca="false">IF(OR(K105=0,K105=""),"",K105/M105)</f>
        <v>920</v>
      </c>
      <c r="O105" s="37" t="n">
        <v>66</v>
      </c>
      <c r="P105" s="36" t="n">
        <f aca="false">IF(OR(K105=0,K105=""),"",K105/O105)</f>
        <v>501.818181818182</v>
      </c>
      <c r="Q105" s="36" t="n">
        <v>0</v>
      </c>
      <c r="R105" s="36"/>
      <c r="S105" s="35" t="str">
        <f aca="false">IF(OR(Q105=0,Q105=""),"",Q105/B105)</f>
        <v/>
      </c>
      <c r="T105" s="36" t="n">
        <v>0</v>
      </c>
      <c r="U105" s="35" t="str">
        <f aca="false">IF(OR(Q105=0,Q105=""),"",Q105/T105)</f>
        <v/>
      </c>
      <c r="V105" s="36" t="n">
        <v>0</v>
      </c>
      <c r="W105" s="35" t="str">
        <f aca="false">IF(OR(Q105=0,Q105=""),"",Q105/V105)</f>
        <v/>
      </c>
      <c r="X105" s="35" t="n">
        <f aca="false">MAX(G105,T105)+M105</f>
        <v>36</v>
      </c>
      <c r="Y105" s="35" t="n">
        <f aca="false">MAX(I105,V105)+O105</f>
        <v>66</v>
      </c>
      <c r="Z105" s="41" t="s">
        <v>371</v>
      </c>
    </row>
    <row r="106" customFormat="false" ht="15.75" hidden="false" customHeight="true" outlineLevel="0" collapsed="false">
      <c r="A106" s="34" t="s">
        <v>372</v>
      </c>
      <c r="B106" s="35" t="n">
        <v>27</v>
      </c>
      <c r="C106" s="36" t="n">
        <v>27</v>
      </c>
      <c r="D106" s="36"/>
      <c r="E106" s="37" t="n">
        <v>86670</v>
      </c>
      <c r="F106" s="36" t="n">
        <f aca="false">E106/B106</f>
        <v>3210</v>
      </c>
      <c r="G106" s="37" t="n">
        <v>66</v>
      </c>
      <c r="H106" s="36" t="n">
        <f aca="false">IF(OR(E106=0,E106=""),"",E106/G106)</f>
        <v>1313.18181818182</v>
      </c>
      <c r="I106" s="37" t="n">
        <v>102</v>
      </c>
      <c r="J106" s="36" t="n">
        <f aca="false">IF(OR(E106=0,E106=""),"",E106/I106)</f>
        <v>849.705882352941</v>
      </c>
      <c r="K106" s="36" t="n">
        <v>0</v>
      </c>
      <c r="L106" s="36" t="str">
        <f aca="false">IF(OR(K106=0,K106=""),"",K106/B106)</f>
        <v/>
      </c>
      <c r="M106" s="36" t="n">
        <v>0</v>
      </c>
      <c r="N106" s="36" t="str">
        <f aca="false">IF(OR(K106=0,K106=""),"",K106/M106)</f>
        <v/>
      </c>
      <c r="O106" s="36" t="n">
        <v>0</v>
      </c>
      <c r="P106" s="36" t="str">
        <f aca="false">IF(OR(K106=0,K106=""),"",K106/O106)</f>
        <v/>
      </c>
      <c r="Q106" s="36" t="n">
        <v>0</v>
      </c>
      <c r="R106" s="36"/>
      <c r="S106" s="35" t="str">
        <f aca="false">IF(OR(Q106=0,Q106=""),"",Q106/B106)</f>
        <v/>
      </c>
      <c r="T106" s="36" t="n">
        <v>0</v>
      </c>
      <c r="U106" s="35" t="str">
        <f aca="false">IF(OR(Q106=0,Q106=""),"",Q106/T106)</f>
        <v/>
      </c>
      <c r="V106" s="36" t="n">
        <v>0</v>
      </c>
      <c r="W106" s="35" t="str">
        <f aca="false">IF(OR(Q106=0,Q106=""),"",Q106/V106)</f>
        <v/>
      </c>
      <c r="X106" s="35" t="n">
        <f aca="false">MAX(G106,T106)+M106</f>
        <v>66</v>
      </c>
      <c r="Y106" s="35" t="n">
        <f aca="false">MAX(I106,V106)+O106</f>
        <v>102</v>
      </c>
      <c r="Z106" s="41" t="s">
        <v>373</v>
      </c>
    </row>
    <row r="107" customFormat="false" ht="15.75" hidden="false" customHeight="true" outlineLevel="0" collapsed="false">
      <c r="A107" s="39" t="s">
        <v>374</v>
      </c>
      <c r="B107" s="35" t="n">
        <v>35</v>
      </c>
      <c r="C107" s="36" t="n">
        <v>35</v>
      </c>
      <c r="D107" s="36"/>
      <c r="E107" s="36" t="n">
        <v>0</v>
      </c>
      <c r="F107" s="36" t="n">
        <f aca="false">E107/B107</f>
        <v>0</v>
      </c>
      <c r="G107" s="36" t="n">
        <v>0</v>
      </c>
      <c r="H107" s="36" t="str">
        <f aca="false">IF(OR(E107=0,E107=""),"",E107/G107)</f>
        <v/>
      </c>
      <c r="I107" s="36" t="n">
        <v>0</v>
      </c>
      <c r="J107" s="36" t="str">
        <f aca="false">IF(OR(E107=0,E107=""),"",E107/I107)</f>
        <v/>
      </c>
      <c r="K107" s="35" t="n">
        <v>63720</v>
      </c>
      <c r="L107" s="36" t="n">
        <f aca="false">IF(OR(K107=0,K107=""),"",K107/B107)</f>
        <v>1820.57142857143</v>
      </c>
      <c r="M107" s="35" t="n">
        <v>66</v>
      </c>
      <c r="N107" s="36" t="n">
        <f aca="false">IF(OR(K107=0,K107=""),"",K107/M107)</f>
        <v>965.454545454546</v>
      </c>
      <c r="O107" s="35" t="n">
        <v>120</v>
      </c>
      <c r="P107" s="36" t="n">
        <f aca="false">IF(OR(K107=0,K107=""),"",K107/O107)</f>
        <v>531</v>
      </c>
      <c r="Q107" s="36" t="n">
        <v>0</v>
      </c>
      <c r="R107" s="36"/>
      <c r="S107" s="35" t="str">
        <f aca="false">IF(OR(Q107=0,Q107=""),"",Q107/B107)</f>
        <v/>
      </c>
      <c r="T107" s="36" t="n">
        <v>0</v>
      </c>
      <c r="U107" s="35" t="str">
        <f aca="false">IF(OR(Q107=0,Q107=""),"",Q107/T107)</f>
        <v/>
      </c>
      <c r="V107" s="36" t="n">
        <v>0</v>
      </c>
      <c r="W107" s="35" t="str">
        <f aca="false">IF(OR(Q107=0,Q107=""),"",Q107/V107)</f>
        <v/>
      </c>
      <c r="X107" s="35" t="n">
        <f aca="false">MAX(G107,T107)+M107</f>
        <v>66</v>
      </c>
      <c r="Y107" s="35" t="n">
        <f aca="false">MAX(I107,V107)+O107</f>
        <v>120</v>
      </c>
      <c r="Z107" s="41" t="s">
        <v>375</v>
      </c>
    </row>
    <row r="108" customFormat="false" ht="15.75" hidden="false" customHeight="true" outlineLevel="0" collapsed="false">
      <c r="A108" s="39" t="s">
        <v>376</v>
      </c>
      <c r="B108" s="35" t="n">
        <v>46</v>
      </c>
      <c r="C108" s="36" t="n">
        <v>46</v>
      </c>
      <c r="D108" s="36"/>
      <c r="E108" s="35" t="n">
        <v>155790</v>
      </c>
      <c r="F108" s="36" t="n">
        <f aca="false">E108/B108</f>
        <v>3386.73913043478</v>
      </c>
      <c r="G108" s="35" t="n">
        <v>114</v>
      </c>
      <c r="H108" s="36" t="n">
        <f aca="false">IF(OR(E108=0,E108=""),"",E108/G108)</f>
        <v>1366.57894736842</v>
      </c>
      <c r="I108" s="35" t="n">
        <v>192</v>
      </c>
      <c r="J108" s="36" t="n">
        <f aca="false">IF(OR(E108=0,E108=""),"",E108/I108)</f>
        <v>811.40625</v>
      </c>
      <c r="K108" s="36" t="n">
        <v>0</v>
      </c>
      <c r="L108" s="36" t="str">
        <f aca="false">IF(OR(K108=0,K108=""),"",K108/B108)</f>
        <v/>
      </c>
      <c r="M108" s="36" t="n">
        <v>0</v>
      </c>
      <c r="N108" s="36" t="str">
        <f aca="false">IF(OR(K108=0,K108=""),"",K108/M108)</f>
        <v/>
      </c>
      <c r="O108" s="36" t="n">
        <v>0</v>
      </c>
      <c r="P108" s="36" t="str">
        <f aca="false">IF(OR(K108=0,K108=""),"",K108/O108)</f>
        <v/>
      </c>
      <c r="Q108" s="36" t="n">
        <v>0</v>
      </c>
      <c r="R108" s="36"/>
      <c r="S108" s="35" t="str">
        <f aca="false">IF(OR(Q108=0,Q108=""),"",Q108/B108)</f>
        <v/>
      </c>
      <c r="T108" s="36" t="n">
        <v>0</v>
      </c>
      <c r="U108" s="35" t="str">
        <f aca="false">IF(OR(Q108=0,Q108=""),"",Q108/T108)</f>
        <v/>
      </c>
      <c r="V108" s="36" t="n">
        <v>0</v>
      </c>
      <c r="W108" s="35" t="str">
        <f aca="false">IF(OR(Q108=0,Q108=""),"",Q108/V108)</f>
        <v/>
      </c>
      <c r="X108" s="35" t="n">
        <f aca="false">MAX(G108,T108)+M108</f>
        <v>114</v>
      </c>
      <c r="Y108" s="35" t="n">
        <f aca="false">MAX(I108,V108)+O108</f>
        <v>192</v>
      </c>
      <c r="Z108" s="41" t="s">
        <v>377</v>
      </c>
    </row>
    <row r="109" customFormat="false" ht="15.75" hidden="false" customHeight="true" outlineLevel="0" collapsed="false">
      <c r="A109" s="34" t="s">
        <v>378</v>
      </c>
      <c r="B109" s="35" t="n">
        <v>59</v>
      </c>
      <c r="C109" s="36" t="n">
        <v>59</v>
      </c>
      <c r="D109" s="36"/>
      <c r="E109" s="36" t="n">
        <v>0</v>
      </c>
      <c r="F109" s="36" t="n">
        <f aca="false">E109/B109</f>
        <v>0</v>
      </c>
      <c r="G109" s="36" t="n">
        <v>0</v>
      </c>
      <c r="H109" s="36" t="str">
        <f aca="false">IF(OR(E109=0,E109=""),"",E109/G109)</f>
        <v/>
      </c>
      <c r="I109" s="36" t="n">
        <v>0</v>
      </c>
      <c r="J109" s="36" t="str">
        <f aca="false">IF(OR(E109=0,E109=""),"",E109/I109)</f>
        <v/>
      </c>
      <c r="K109" s="37" t="n">
        <v>128340</v>
      </c>
      <c r="L109" s="36" t="n">
        <f aca="false">IF(OR(K109=0,K109=""),"",K109/B109)</f>
        <v>2175.25423728814</v>
      </c>
      <c r="M109" s="37" t="n">
        <v>114</v>
      </c>
      <c r="N109" s="36" t="n">
        <f aca="false">IF(OR(K109=0,K109=""),"",K109/M109)</f>
        <v>1125.78947368421</v>
      </c>
      <c r="O109" s="37" t="n">
        <v>234</v>
      </c>
      <c r="P109" s="36" t="n">
        <f aca="false">IF(OR(K109=0,K109=""),"",K109/O109)</f>
        <v>548.461538461539</v>
      </c>
      <c r="Q109" s="36" t="n">
        <v>0</v>
      </c>
      <c r="R109" s="36"/>
      <c r="S109" s="35" t="str">
        <f aca="false">IF(OR(Q109=0,Q109=""),"",Q109/B109)</f>
        <v/>
      </c>
      <c r="T109" s="36" t="n">
        <v>0</v>
      </c>
      <c r="U109" s="35" t="str">
        <f aca="false">IF(OR(Q109=0,Q109=""),"",Q109/T109)</f>
        <v/>
      </c>
      <c r="V109" s="36" t="n">
        <v>0</v>
      </c>
      <c r="W109" s="35" t="str">
        <f aca="false">IF(OR(Q109=0,Q109=""),"",Q109/V109)</f>
        <v/>
      </c>
      <c r="X109" s="35" t="n">
        <f aca="false">MAX(G109,T109)+M109</f>
        <v>114</v>
      </c>
      <c r="Y109" s="35" t="n">
        <f aca="false">MAX(I109,V109)+O109</f>
        <v>234</v>
      </c>
      <c r="Z109" s="41" t="s">
        <v>379</v>
      </c>
    </row>
    <row r="110" customFormat="false" ht="15.75" hidden="false" customHeight="true" outlineLevel="0" collapsed="false">
      <c r="A110" s="34" t="s">
        <v>380</v>
      </c>
      <c r="B110" s="35" t="n">
        <v>79</v>
      </c>
      <c r="C110" s="36" t="n">
        <v>79</v>
      </c>
      <c r="D110" s="36"/>
      <c r="E110" s="37" t="n">
        <v>289440</v>
      </c>
      <c r="F110" s="36" t="n">
        <f aca="false">E110/B110</f>
        <v>3663.79746835443</v>
      </c>
      <c r="G110" s="37" t="n">
        <v>210</v>
      </c>
      <c r="H110" s="36" t="n">
        <f aca="false">IF(OR(E110=0,E110=""),"",E110/G110)</f>
        <v>1378.28571428571</v>
      </c>
      <c r="I110" s="37" t="n">
        <v>372</v>
      </c>
      <c r="J110" s="36" t="n">
        <f aca="false">IF(OR(E110=0,E110=""),"",E110/I110)</f>
        <v>778.064516129032</v>
      </c>
      <c r="K110" s="36" t="n">
        <v>0</v>
      </c>
      <c r="L110" s="36" t="str">
        <f aca="false">IF(OR(K110=0,K110=""),"",K110/B110)</f>
        <v/>
      </c>
      <c r="M110" s="36" t="n">
        <v>0</v>
      </c>
      <c r="N110" s="36" t="str">
        <f aca="false">IF(OR(K110=0,K110=""),"",K110/M110)</f>
        <v/>
      </c>
      <c r="O110" s="36" t="n">
        <v>0</v>
      </c>
      <c r="P110" s="36" t="str">
        <f aca="false">IF(OR(K110=0,K110=""),"",K110/O110)</f>
        <v/>
      </c>
      <c r="Q110" s="36" t="n">
        <v>0</v>
      </c>
      <c r="R110" s="36"/>
      <c r="S110" s="35" t="str">
        <f aca="false">IF(OR(Q110=0,Q110=""),"",Q110/B110)</f>
        <v/>
      </c>
      <c r="T110" s="36" t="n">
        <v>0</v>
      </c>
      <c r="U110" s="35" t="str">
        <f aca="false">IF(OR(Q110=0,Q110=""),"",Q110/T110)</f>
        <v/>
      </c>
      <c r="V110" s="36" t="n">
        <v>0</v>
      </c>
      <c r="W110" s="35" t="str">
        <f aca="false">IF(OR(Q110=0,Q110=""),"",Q110/V110)</f>
        <v/>
      </c>
      <c r="X110" s="35" t="n">
        <f aca="false">MAX(G110,T110)+M110</f>
        <v>210</v>
      </c>
      <c r="Y110" s="35" t="n">
        <f aca="false">MAX(I110,V110)+O110</f>
        <v>372</v>
      </c>
      <c r="Z110" s="41" t="s">
        <v>381</v>
      </c>
    </row>
    <row r="111" customFormat="false" ht="15.75" hidden="false" customHeight="true" outlineLevel="0" collapsed="false">
      <c r="A111" s="39" t="s">
        <v>382</v>
      </c>
      <c r="B111" s="35" t="n">
        <v>89</v>
      </c>
      <c r="C111" s="36" t="n">
        <v>89</v>
      </c>
      <c r="D111" s="36"/>
      <c r="E111" s="36" t="n">
        <v>0</v>
      </c>
      <c r="F111" s="36" t="n">
        <f aca="false">E111/B111</f>
        <v>0</v>
      </c>
      <c r="G111" s="36" t="n">
        <v>0</v>
      </c>
      <c r="H111" s="36" t="str">
        <f aca="false">IF(OR(E111=0,E111=""),"",E111/G111)</f>
        <v/>
      </c>
      <c r="I111" s="36" t="n">
        <v>0</v>
      </c>
      <c r="J111" s="36" t="str">
        <f aca="false">IF(OR(E111=0,E111=""),"",E111/I111)</f>
        <v/>
      </c>
      <c r="K111" s="35" t="n">
        <v>234810</v>
      </c>
      <c r="L111" s="36" t="n">
        <f aca="false">IF(OR(K111=0,K111=""),"",K111/B111)</f>
        <v>2638.31460674157</v>
      </c>
      <c r="M111" s="35" t="n">
        <v>210</v>
      </c>
      <c r="N111" s="36" t="n">
        <f aca="false">IF(OR(K111=0,K111=""),"",K111/M111)</f>
        <v>1118.14285714286</v>
      </c>
      <c r="O111" s="35" t="n">
        <v>438</v>
      </c>
      <c r="P111" s="36" t="n">
        <f aca="false">IF(OR(K111=0,K111=""),"",K111/O111)</f>
        <v>536.095890410959</v>
      </c>
      <c r="Q111" s="36" t="n">
        <v>0</v>
      </c>
      <c r="R111" s="36"/>
      <c r="S111" s="35" t="str">
        <f aca="false">IF(OR(Q111=0,Q111=""),"",Q111/B111)</f>
        <v/>
      </c>
      <c r="T111" s="36" t="n">
        <v>0</v>
      </c>
      <c r="U111" s="35" t="str">
        <f aca="false">IF(OR(Q111=0,Q111=""),"",Q111/T111)</f>
        <v/>
      </c>
      <c r="V111" s="36" t="n">
        <v>0</v>
      </c>
      <c r="W111" s="35" t="str">
        <f aca="false">IF(OR(Q111=0,Q111=""),"",Q111/V111)</f>
        <v/>
      </c>
      <c r="X111" s="35" t="n">
        <f aca="false">MAX(G111,T111)+M111</f>
        <v>210</v>
      </c>
      <c r="Y111" s="35" t="n">
        <f aca="false">MAX(I111,V111)+O111</f>
        <v>438</v>
      </c>
      <c r="Z111" s="40"/>
    </row>
    <row r="112" customFormat="false" ht="15.75" hidden="false" customHeight="true" outlineLevel="0" collapsed="false">
      <c r="A112" s="39" t="s">
        <v>383</v>
      </c>
      <c r="B112" s="35" t="n">
        <v>121</v>
      </c>
      <c r="C112" s="36" t="n">
        <v>121</v>
      </c>
      <c r="D112" s="36"/>
      <c r="E112" s="35" t="n">
        <v>485730</v>
      </c>
      <c r="F112" s="36" t="n">
        <f aca="false">E112/B112</f>
        <v>4014.29752066116</v>
      </c>
      <c r="G112" s="35" t="n">
        <v>378</v>
      </c>
      <c r="H112" s="36" t="n">
        <f aca="false">IF(OR(E112=0,E112=""),"",E112/G112)</f>
        <v>1285</v>
      </c>
      <c r="I112" s="35" t="n">
        <v>702</v>
      </c>
      <c r="J112" s="36" t="n">
        <f aca="false">IF(OR(E112=0,E112=""),"",E112/I112)</f>
        <v>691.923076923077</v>
      </c>
      <c r="K112" s="36" t="n">
        <v>0</v>
      </c>
      <c r="L112" s="36" t="str">
        <f aca="false">IF(OR(K112=0,K112=""),"",K112/B112)</f>
        <v/>
      </c>
      <c r="M112" s="36" t="n">
        <v>0</v>
      </c>
      <c r="N112" s="36" t="str">
        <f aca="false">IF(OR(K112=0,K112=""),"",K112/M112)</f>
        <v/>
      </c>
      <c r="O112" s="36" t="n">
        <v>0</v>
      </c>
      <c r="P112" s="36" t="str">
        <f aca="false">IF(OR(K112=0,K112=""),"",K112/O112)</f>
        <v/>
      </c>
      <c r="Q112" s="36" t="n">
        <v>0</v>
      </c>
      <c r="R112" s="36"/>
      <c r="S112" s="35" t="str">
        <f aca="false">IF(OR(Q112=0,Q112=""),"",Q112/B112)</f>
        <v/>
      </c>
      <c r="T112" s="36" t="n">
        <v>0</v>
      </c>
      <c r="U112" s="35" t="str">
        <f aca="false">IF(OR(Q112=0,Q112=""),"",Q112/T112)</f>
        <v/>
      </c>
      <c r="V112" s="36" t="n">
        <v>0</v>
      </c>
      <c r="W112" s="35" t="str">
        <f aca="false">IF(OR(Q112=0,Q112=""),"",Q112/V112)</f>
        <v/>
      </c>
      <c r="X112" s="35" t="n">
        <f aca="false">MAX(G112,T112)+M112</f>
        <v>378</v>
      </c>
      <c r="Y112" s="35" t="n">
        <f aca="false">MAX(I112,V112)+O112</f>
        <v>702</v>
      </c>
      <c r="Z112" s="40"/>
    </row>
  </sheetData>
  <autoFilter ref="A1:Z112"/>
  <conditionalFormatting sqref="A1:Z1">
    <cfRule type="expression" priority="2" aboveAverage="0" equalAverage="0" bottom="0" percent="0" rank="0" text="" dxfId="0">
      <formula>AND(OR(COUNTIF('master sheet'!$A$2:$A$111,A1)&gt;0,COUNTIF('master sheet'!$C$2:$C$111,A1)&gt;0),IF(COUNTIF('master sheet'!$A$2:$A$111,A1)&gt;0,INDEX('master sheet'!$B$2:$B$111,MATCH(A1,'master sheet'!$A$2:$A$111,0)),INDEX('master sheet'!$B$2:$B$111,MATCH(A1,'master sheet'!$C$2:$C$111,0)))&lt;&gt;"")</formula>
    </cfRule>
  </conditionalFormatting>
  <conditionalFormatting sqref="A1:Z1">
    <cfRule type="expression" priority="3" aboveAverage="0" equalAverage="0" bottom="0" percent="0" rank="0" text="" dxfId="1">
      <formula>AND(COUNTIF('master sheet'!$A$2:$A$111,A1)=0,COUNTIF('master sheet'!$C$2:$C$111,A1)=0)</formula>
    </cfRule>
  </conditionalFormatting>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&amp;C&amp;"Arial,Regular"&amp;10&amp;Kffffff&amp;A</oddHeader>
    <oddFooter>&amp;C&amp;"Arial,Regular"&amp;10&amp;KffffffPage &amp;P</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3.8" zeroHeight="false" outlineLevelRow="0" outlineLevelCol="0"/>
  <cols>
    <col collapsed="false" customWidth="true" hidden="false" outlineLevel="0" max="1" min="1" style="1" width="24.02"/>
    <col collapsed="false" customWidth="true" hidden="false" outlineLevel="0" max="2" min="2" style="1" width="11.32"/>
    <col collapsed="false" customWidth="true" hidden="false" outlineLevel="0" max="21" min="3" style="1" width="6.74"/>
    <col collapsed="false" customWidth="true" hidden="false" outlineLevel="0" max="90" min="22" style="0" width="6.74"/>
    <col collapsed="false" customWidth="true" hidden="false" outlineLevel="0" max="16382" min="16379" style="1" width="10.16"/>
    <col collapsed="false" customWidth="true" hidden="false" outlineLevel="0" max="16384" min="16383" style="0" width="10.16"/>
  </cols>
  <sheetData>
    <row r="1" customFormat="false" ht="91" hidden="false" customHeight="true" outlineLevel="0" collapsed="false">
      <c r="A1" s="3" t="s">
        <v>0</v>
      </c>
      <c r="B1" s="2" t="s">
        <v>115</v>
      </c>
      <c r="C1" s="44" t="s">
        <v>1</v>
      </c>
      <c r="D1" s="44" t="s">
        <v>82</v>
      </c>
      <c r="E1" s="45" t="s">
        <v>122</v>
      </c>
      <c r="F1" s="45" t="s">
        <v>124</v>
      </c>
      <c r="G1" s="46" t="s">
        <v>119</v>
      </c>
      <c r="H1" s="46" t="s">
        <v>121</v>
      </c>
      <c r="I1" s="45" t="s">
        <v>123</v>
      </c>
      <c r="J1" s="3" t="s">
        <v>126</v>
      </c>
      <c r="K1" s="47" t="s">
        <v>94</v>
      </c>
      <c r="L1" s="46" t="s">
        <v>91</v>
      </c>
      <c r="M1" s="3" t="s">
        <v>92</v>
      </c>
      <c r="N1" s="3" t="s">
        <v>7</v>
      </c>
      <c r="O1" s="46" t="s">
        <v>6</v>
      </c>
      <c r="P1" s="46" t="s">
        <v>384</v>
      </c>
      <c r="Q1" s="48" t="s">
        <v>127</v>
      </c>
      <c r="R1" s="48" t="s">
        <v>116</v>
      </c>
      <c r="S1" s="48" t="s">
        <v>125</v>
      </c>
      <c r="T1" s="48" t="s">
        <v>120</v>
      </c>
      <c r="U1" s="48" t="s">
        <v>93</v>
      </c>
      <c r="V1" s="3" t="s">
        <v>134</v>
      </c>
    </row>
    <row r="2" s="54" customFormat="true" ht="18.55" hidden="false" customHeight="true" outlineLevel="0" collapsed="false">
      <c r="A2" s="49" t="s">
        <v>385</v>
      </c>
      <c r="B2" s="50" t="s">
        <v>386</v>
      </c>
      <c r="C2" s="51" t="n">
        <v>11</v>
      </c>
      <c r="D2" s="52" t="n">
        <f aca="false">C2+((J2+M2+N2)*0.00864197530864197)</f>
        <v>11.0518518518519</v>
      </c>
      <c r="E2" s="51" t="n">
        <v>16.8</v>
      </c>
      <c r="F2" s="51" t="n">
        <f aca="false">E2/C2</f>
        <v>1.52727272727273</v>
      </c>
      <c r="G2" s="51" t="n">
        <v>16.8</v>
      </c>
      <c r="H2" s="51" t="n">
        <f aca="false">G2/C2</f>
        <v>1.52727272727273</v>
      </c>
      <c r="I2" s="51" t="n">
        <f aca="false">E2/G2</f>
        <v>1</v>
      </c>
      <c r="J2" s="52" t="n">
        <v>6</v>
      </c>
      <c r="K2" s="51"/>
      <c r="L2" s="51"/>
      <c r="M2" s="51"/>
      <c r="N2" s="51"/>
      <c r="O2" s="51"/>
      <c r="P2" s="51"/>
      <c r="Q2" s="50"/>
      <c r="R2" s="51"/>
      <c r="S2" s="50"/>
      <c r="T2" s="50"/>
      <c r="U2" s="50"/>
      <c r="V2" s="53"/>
      <c r="XEY2" s="1"/>
      <c r="XEZ2" s="1"/>
      <c r="XFA2" s="1"/>
      <c r="XFB2" s="1"/>
      <c r="XFC2" s="0"/>
      <c r="XFD2" s="0"/>
    </row>
    <row r="3" s="54" customFormat="true" ht="18.55" hidden="false" customHeight="true" outlineLevel="0" collapsed="false">
      <c r="A3" s="49" t="s">
        <v>387</v>
      </c>
      <c r="B3" s="53" t="s">
        <v>386</v>
      </c>
      <c r="C3" s="51" t="n">
        <v>27</v>
      </c>
      <c r="D3" s="52" t="n">
        <f aca="false">C3+((J3+M3+N3)*0.00864197530864197)</f>
        <v>27</v>
      </c>
      <c r="E3" s="51" t="n">
        <v>31.8</v>
      </c>
      <c r="F3" s="51" t="n">
        <f aca="false">E3/C3</f>
        <v>1.17777777777778</v>
      </c>
      <c r="G3" s="51"/>
      <c r="H3" s="51"/>
      <c r="I3" s="51"/>
      <c r="J3" s="51"/>
      <c r="K3" s="51"/>
      <c r="L3" s="51"/>
      <c r="M3" s="51"/>
      <c r="N3" s="51"/>
      <c r="O3" s="51"/>
      <c r="P3" s="51"/>
      <c r="Q3" s="50"/>
      <c r="R3" s="51"/>
      <c r="S3" s="50"/>
      <c r="T3" s="50"/>
      <c r="U3" s="50"/>
      <c r="V3" s="53"/>
      <c r="XEY3" s="1"/>
      <c r="XEZ3" s="1"/>
      <c r="XFA3" s="1"/>
      <c r="XFB3" s="1"/>
      <c r="XFC3" s="0"/>
      <c r="XFD3" s="0"/>
    </row>
    <row r="4" s="54" customFormat="true" ht="18.55" hidden="false" customHeight="true" outlineLevel="0" collapsed="false">
      <c r="A4" s="49" t="s">
        <v>388</v>
      </c>
      <c r="B4" s="53" t="s">
        <v>386</v>
      </c>
      <c r="C4" s="51" t="n">
        <v>26</v>
      </c>
      <c r="D4" s="52" t="n">
        <f aca="false">C4+((J4+M4+N4)*0.00864197530864197)</f>
        <v>26</v>
      </c>
      <c r="E4" s="51" t="n">
        <v>33</v>
      </c>
      <c r="F4" s="51" t="n">
        <f aca="false">E4/C4</f>
        <v>1.26923076923077</v>
      </c>
      <c r="G4" s="51" t="n">
        <v>6</v>
      </c>
      <c r="H4" s="51" t="n">
        <f aca="false">G4/C4</f>
        <v>0.230769230769231</v>
      </c>
      <c r="I4" s="51" t="n">
        <f aca="false">E4/G4</f>
        <v>5.5</v>
      </c>
      <c r="J4" s="51"/>
      <c r="K4" s="51"/>
      <c r="L4" s="51"/>
      <c r="M4" s="51"/>
      <c r="N4" s="51"/>
      <c r="O4" s="51"/>
      <c r="P4" s="51"/>
      <c r="Q4" s="50"/>
      <c r="R4" s="51"/>
      <c r="S4" s="50"/>
      <c r="T4" s="50"/>
      <c r="U4" s="50"/>
      <c r="V4" s="50"/>
      <c r="XEY4" s="1"/>
      <c r="XEZ4" s="1"/>
      <c r="XFA4" s="1"/>
      <c r="XFB4" s="1"/>
      <c r="XFC4" s="0"/>
      <c r="XFD4" s="0"/>
    </row>
    <row r="5" s="54" customFormat="true" ht="19.55" hidden="false" customHeight="true" outlineLevel="0" collapsed="false">
      <c r="A5" s="49" t="s">
        <v>389</v>
      </c>
      <c r="B5" s="53" t="s">
        <v>386</v>
      </c>
      <c r="C5" s="51" t="n">
        <v>25</v>
      </c>
      <c r="D5" s="52" t="n">
        <f aca="false">C5+((J5+M5+N5)*0.00864197530864197)</f>
        <v>25</v>
      </c>
      <c r="E5" s="51" t="n">
        <v>34.2</v>
      </c>
      <c r="F5" s="51" t="n">
        <f aca="false">E5/C5</f>
        <v>1.368</v>
      </c>
      <c r="G5" s="51" t="n">
        <v>12</v>
      </c>
      <c r="H5" s="51" t="n">
        <f aca="false">G5/C5</f>
        <v>0.48</v>
      </c>
      <c r="I5" s="51" t="n">
        <f aca="false">E5/G5</f>
        <v>2.85</v>
      </c>
      <c r="J5" s="51"/>
      <c r="K5" s="51"/>
      <c r="L5" s="51"/>
      <c r="M5" s="51"/>
      <c r="N5" s="51"/>
      <c r="O5" s="51"/>
      <c r="P5" s="51"/>
      <c r="Q5" s="50"/>
      <c r="R5" s="51"/>
      <c r="S5" s="50"/>
      <c r="T5" s="50"/>
      <c r="U5" s="50"/>
      <c r="V5" s="53"/>
      <c r="X5" s="55"/>
      <c r="XEY5" s="1"/>
      <c r="XEZ5" s="1"/>
      <c r="XFA5" s="1"/>
      <c r="XFB5" s="1"/>
      <c r="XFC5" s="0"/>
      <c r="XFD5" s="0"/>
    </row>
    <row r="6" s="54" customFormat="true" ht="18.55" hidden="false" customHeight="true" outlineLevel="0" collapsed="false">
      <c r="A6" s="49" t="s">
        <v>390</v>
      </c>
      <c r="B6" s="53" t="s">
        <v>386</v>
      </c>
      <c r="C6" s="51" t="n">
        <v>24</v>
      </c>
      <c r="D6" s="52" t="n">
        <f aca="false">C6+((J6+M6+N6)*0.00864197530864197)</f>
        <v>24</v>
      </c>
      <c r="E6" s="51" t="n">
        <v>35.4</v>
      </c>
      <c r="F6" s="51" t="n">
        <f aca="false">E6/C6</f>
        <v>1.475</v>
      </c>
      <c r="G6" s="51" t="n">
        <v>18</v>
      </c>
      <c r="H6" s="51" t="n">
        <f aca="false">G6/C6</f>
        <v>0.75</v>
      </c>
      <c r="I6" s="51" t="n">
        <f aca="false">E6/G6</f>
        <v>1.96666666666667</v>
      </c>
      <c r="J6" s="51"/>
      <c r="K6" s="51"/>
      <c r="L6" s="51"/>
      <c r="M6" s="51"/>
      <c r="N6" s="51"/>
      <c r="O6" s="51"/>
      <c r="P6" s="51"/>
      <c r="Q6" s="50"/>
      <c r="R6" s="51"/>
      <c r="S6" s="50"/>
      <c r="T6" s="50"/>
      <c r="U6" s="50"/>
      <c r="V6" s="50"/>
      <c r="XEY6" s="1"/>
      <c r="XEZ6" s="1"/>
      <c r="XFA6" s="1"/>
      <c r="XFB6" s="1"/>
      <c r="XFC6" s="0"/>
      <c r="XFD6" s="0"/>
    </row>
    <row r="7" s="54" customFormat="true" ht="18.55" hidden="false" customHeight="true" outlineLevel="0" collapsed="false">
      <c r="A7" s="49" t="s">
        <v>391</v>
      </c>
      <c r="B7" s="50" t="s">
        <v>386</v>
      </c>
      <c r="C7" s="51" t="n">
        <v>12</v>
      </c>
      <c r="D7" s="52" t="n">
        <f aca="false">C7+((J7+M7+N7)*0.00864197530864197)</f>
        <v>13.037037037037</v>
      </c>
      <c r="E7" s="51" t="n">
        <v>36</v>
      </c>
      <c r="F7" s="51" t="n">
        <f aca="false">E7/C7</f>
        <v>3</v>
      </c>
      <c r="G7" s="51" t="n">
        <v>36</v>
      </c>
      <c r="H7" s="51" t="n">
        <f aca="false">G7/C7</f>
        <v>3</v>
      </c>
      <c r="I7" s="51" t="n">
        <f aca="false">E7/G7</f>
        <v>1</v>
      </c>
      <c r="J7" s="51"/>
      <c r="K7" s="51"/>
      <c r="L7" s="51"/>
      <c r="M7" s="51"/>
      <c r="N7" s="51" t="n">
        <v>120</v>
      </c>
      <c r="O7" s="51" t="n">
        <v>18</v>
      </c>
      <c r="P7" s="51"/>
      <c r="Q7" s="50"/>
      <c r="R7" s="51"/>
      <c r="S7" s="50"/>
      <c r="T7" s="50"/>
      <c r="U7" s="50"/>
      <c r="V7" s="50"/>
      <c r="XEY7" s="1"/>
      <c r="XEZ7" s="1"/>
      <c r="XFA7" s="1"/>
      <c r="XFB7" s="1"/>
      <c r="XFC7" s="0"/>
      <c r="XFD7" s="0"/>
    </row>
    <row r="8" s="54" customFormat="true" ht="18.55" hidden="false" customHeight="true" outlineLevel="0" collapsed="false">
      <c r="A8" s="49" t="s">
        <v>392</v>
      </c>
      <c r="B8" s="53" t="s">
        <v>386</v>
      </c>
      <c r="C8" s="51" t="n">
        <v>23</v>
      </c>
      <c r="D8" s="52" t="n">
        <f aca="false">C8+((J8+M8+N8)*0.00864197530864197)</f>
        <v>23</v>
      </c>
      <c r="E8" s="51" t="n">
        <v>36.6</v>
      </c>
      <c r="F8" s="51" t="n">
        <f aca="false">E8/C8</f>
        <v>1.59130434782609</v>
      </c>
      <c r="G8" s="51" t="n">
        <v>24</v>
      </c>
      <c r="H8" s="51" t="n">
        <f aca="false">G8/C8</f>
        <v>1.04347826086957</v>
      </c>
      <c r="I8" s="51" t="n">
        <f aca="false">E8/G8</f>
        <v>1.525</v>
      </c>
      <c r="J8" s="51"/>
      <c r="K8" s="51"/>
      <c r="L8" s="51"/>
      <c r="M8" s="51"/>
      <c r="N8" s="51"/>
      <c r="O8" s="51"/>
      <c r="P8" s="51"/>
      <c r="Q8" s="50"/>
      <c r="R8" s="51"/>
      <c r="S8" s="50"/>
      <c r="T8" s="50"/>
      <c r="U8" s="50"/>
      <c r="V8" s="53"/>
      <c r="XEY8" s="1"/>
      <c r="XEZ8" s="1"/>
      <c r="XFA8" s="1"/>
      <c r="XFB8" s="1"/>
      <c r="XFC8" s="0"/>
      <c r="XFD8" s="0"/>
    </row>
    <row r="9" s="54" customFormat="true" ht="18.55" hidden="false" customHeight="true" outlineLevel="0" collapsed="false">
      <c r="A9" s="49" t="s">
        <v>393</v>
      </c>
      <c r="B9" s="53" t="s">
        <v>386</v>
      </c>
      <c r="C9" s="51" t="n">
        <v>22</v>
      </c>
      <c r="D9" s="52" t="n">
        <f aca="false">C9+((J9+M9+N9)*0.00864197530864197)</f>
        <v>22</v>
      </c>
      <c r="E9" s="51" t="n">
        <v>37.8</v>
      </c>
      <c r="F9" s="51" t="n">
        <f aca="false">E9/C9</f>
        <v>1.71818181818182</v>
      </c>
      <c r="G9" s="51" t="n">
        <v>30</v>
      </c>
      <c r="H9" s="51" t="n">
        <f aca="false">G9/C9</f>
        <v>1.36363636363636</v>
      </c>
      <c r="I9" s="51" t="n">
        <f aca="false">E9/G9</f>
        <v>1.26</v>
      </c>
      <c r="J9" s="51"/>
      <c r="K9" s="51"/>
      <c r="L9" s="51"/>
      <c r="M9" s="51"/>
      <c r="N9" s="51"/>
      <c r="O9" s="51"/>
      <c r="P9" s="51"/>
      <c r="Q9" s="50"/>
      <c r="R9" s="51"/>
      <c r="S9" s="50"/>
      <c r="T9" s="50"/>
      <c r="U9" s="50"/>
      <c r="V9" s="53"/>
      <c r="XEY9" s="1"/>
      <c r="XEZ9" s="1"/>
      <c r="XFA9" s="1"/>
      <c r="XFB9" s="1"/>
      <c r="XFC9" s="0"/>
      <c r="XFD9" s="0"/>
    </row>
    <row r="10" s="54" customFormat="true" ht="18.55" hidden="false" customHeight="true" outlineLevel="0" collapsed="false">
      <c r="A10" s="56" t="s">
        <v>394</v>
      </c>
      <c r="B10" s="53" t="s">
        <v>386</v>
      </c>
      <c r="C10" s="52" t="n">
        <v>21</v>
      </c>
      <c r="D10" s="52" t="n">
        <f aca="false">C10+((J10+M10+N10)*0.00864197530864197)</f>
        <v>21</v>
      </c>
      <c r="E10" s="51" t="n">
        <v>39</v>
      </c>
      <c r="F10" s="51" t="n">
        <f aca="false">E10/C10</f>
        <v>1.85714285714286</v>
      </c>
      <c r="G10" s="51" t="n">
        <v>36</v>
      </c>
      <c r="H10" s="51" t="n">
        <f aca="false">G10/C10</f>
        <v>1.71428571428571</v>
      </c>
      <c r="I10" s="51" t="n">
        <f aca="false">E10/G10</f>
        <v>1.08333333333333</v>
      </c>
      <c r="J10" s="52"/>
      <c r="K10" s="52"/>
      <c r="L10" s="52"/>
      <c r="M10" s="51"/>
      <c r="N10" s="51"/>
      <c r="O10" s="51"/>
      <c r="P10" s="52"/>
      <c r="Q10" s="53"/>
      <c r="R10" s="51"/>
      <c r="S10" s="50"/>
      <c r="T10" s="50"/>
      <c r="U10" s="50"/>
      <c r="V10" s="50"/>
      <c r="XEY10" s="1"/>
      <c r="XEZ10" s="1"/>
      <c r="XFA10" s="1"/>
      <c r="XFB10" s="1"/>
      <c r="XFC10" s="0"/>
      <c r="XFD10" s="0"/>
    </row>
    <row r="11" s="54" customFormat="true" ht="18.55" hidden="false" customHeight="true" outlineLevel="0" collapsed="false">
      <c r="A11" s="56" t="s">
        <v>395</v>
      </c>
      <c r="B11" s="53" t="s">
        <v>386</v>
      </c>
      <c r="C11" s="52" t="n">
        <v>17</v>
      </c>
      <c r="D11" s="52" t="n">
        <f aca="false">C11+((J11+M11+N11)*0.00864197530864197)</f>
        <v>17.0777777777778</v>
      </c>
      <c r="E11" s="51" t="n">
        <v>48</v>
      </c>
      <c r="F11" s="51" t="n">
        <f aca="false">E11/C11</f>
        <v>2.82352941176471</v>
      </c>
      <c r="G11" s="51" t="n">
        <v>72</v>
      </c>
      <c r="H11" s="51" t="n">
        <f aca="false">G11/C11</f>
        <v>4.23529411764706</v>
      </c>
      <c r="I11" s="51" t="n">
        <f aca="false">E11/G11</f>
        <v>0.666666666666667</v>
      </c>
      <c r="J11" s="52"/>
      <c r="K11" s="52" t="n">
        <v>6</v>
      </c>
      <c r="L11" s="52" t="n">
        <v>6</v>
      </c>
      <c r="M11" s="51" t="n">
        <v>9</v>
      </c>
      <c r="N11" s="52"/>
      <c r="O11" s="52"/>
      <c r="P11" s="52" t="n">
        <v>1300</v>
      </c>
      <c r="Q11" s="53"/>
      <c r="R11" s="52"/>
      <c r="S11" s="53"/>
      <c r="T11" s="53"/>
      <c r="U11" s="53"/>
      <c r="V11" s="53"/>
      <c r="XEY11" s="1"/>
      <c r="XEZ11" s="1"/>
      <c r="XFA11" s="1"/>
      <c r="XFB11" s="1"/>
      <c r="XFC11" s="0"/>
      <c r="XFD11" s="0"/>
    </row>
    <row r="12" s="54" customFormat="true" ht="18.55" hidden="false" customHeight="true" outlineLevel="0" collapsed="false">
      <c r="A12" s="56" t="s">
        <v>396</v>
      </c>
      <c r="B12" s="53" t="s">
        <v>386</v>
      </c>
      <c r="C12" s="52" t="n">
        <v>25</v>
      </c>
      <c r="D12" s="52" t="n">
        <f aca="false">C12+((J12+M12+N12)*0.00864197530864197)</f>
        <v>25.3992592592593</v>
      </c>
      <c r="E12" s="51" t="n">
        <v>58.2</v>
      </c>
      <c r="F12" s="51" t="n">
        <f aca="false">E12/C12</f>
        <v>2.328</v>
      </c>
      <c r="G12" s="51" t="n">
        <v>25.8</v>
      </c>
      <c r="H12" s="51" t="n">
        <f aca="false">G12/C12</f>
        <v>1.032</v>
      </c>
      <c r="I12" s="51" t="n">
        <f aca="false">E12/G12</f>
        <v>2.25581395348837</v>
      </c>
      <c r="J12" s="52" t="n">
        <v>42</v>
      </c>
      <c r="K12" s="52" t="n">
        <v>25.8</v>
      </c>
      <c r="L12" s="52" t="n">
        <v>58.2</v>
      </c>
      <c r="M12" s="51" t="n">
        <v>4.2</v>
      </c>
      <c r="N12" s="52"/>
      <c r="O12" s="52"/>
      <c r="P12" s="52"/>
      <c r="Q12" s="53"/>
      <c r="R12" s="52"/>
      <c r="S12" s="53"/>
      <c r="T12" s="53"/>
      <c r="U12" s="53"/>
      <c r="V12" s="50"/>
      <c r="XEY12" s="1"/>
      <c r="XEZ12" s="1"/>
      <c r="XFA12" s="1"/>
      <c r="XFB12" s="1"/>
      <c r="XFC12" s="0"/>
      <c r="XFD12" s="0"/>
    </row>
    <row r="13" s="54" customFormat="true" ht="18.55" hidden="false" customHeight="true" outlineLevel="0" collapsed="false">
      <c r="A13" s="49" t="s">
        <v>397</v>
      </c>
      <c r="B13" s="53" t="s">
        <v>386</v>
      </c>
      <c r="C13" s="51" t="n">
        <v>26</v>
      </c>
      <c r="D13" s="52" t="n">
        <f aca="false">C13+((J13+M13+N13)*0.00864197530864197)</f>
        <v>26</v>
      </c>
      <c r="E13" s="51" t="n">
        <v>59.4</v>
      </c>
      <c r="F13" s="51" t="n">
        <f aca="false">E13/C13</f>
        <v>2.28461538461538</v>
      </c>
      <c r="G13" s="51" t="n">
        <v>90</v>
      </c>
      <c r="H13" s="51" t="n">
        <f aca="false">G13/C13</f>
        <v>3.46153846153846</v>
      </c>
      <c r="I13" s="51" t="n">
        <f aca="false">E13/G13</f>
        <v>0.66</v>
      </c>
      <c r="J13" s="51"/>
      <c r="K13" s="51"/>
      <c r="L13" s="51"/>
      <c r="M13" s="51"/>
      <c r="N13" s="51"/>
      <c r="O13" s="51"/>
      <c r="P13" s="51"/>
      <c r="Q13" s="50"/>
      <c r="R13" s="51"/>
      <c r="S13" s="50"/>
      <c r="T13" s="50"/>
      <c r="U13" s="50"/>
      <c r="V13" s="53"/>
      <c r="XEY13" s="1"/>
      <c r="XEZ13" s="1"/>
      <c r="XFA13" s="1"/>
      <c r="XFB13" s="1"/>
      <c r="XFC13" s="0"/>
      <c r="XFD13" s="0"/>
    </row>
    <row r="14" s="54" customFormat="true" ht="18.55" hidden="false" customHeight="true" outlineLevel="0" collapsed="false">
      <c r="A14" s="49" t="s">
        <v>398</v>
      </c>
      <c r="B14" s="53" t="s">
        <v>386</v>
      </c>
      <c r="C14" s="51" t="n">
        <v>25</v>
      </c>
      <c r="D14" s="52" t="n">
        <f aca="false">C14+((J14+M14+N14)*0.00864197530864197)</f>
        <v>25</v>
      </c>
      <c r="E14" s="51" t="n">
        <v>60.6</v>
      </c>
      <c r="F14" s="51" t="n">
        <f aca="false">E14/C14</f>
        <v>2.424</v>
      </c>
      <c r="G14" s="51" t="n">
        <v>96</v>
      </c>
      <c r="H14" s="51" t="n">
        <f aca="false">G14/C14</f>
        <v>3.84</v>
      </c>
      <c r="I14" s="51" t="n">
        <f aca="false">E14/G14</f>
        <v>0.63125</v>
      </c>
      <c r="J14" s="51"/>
      <c r="K14" s="51"/>
      <c r="L14" s="51"/>
      <c r="M14" s="51"/>
      <c r="N14" s="51"/>
      <c r="O14" s="51"/>
      <c r="P14" s="51"/>
      <c r="Q14" s="50"/>
      <c r="R14" s="51"/>
      <c r="S14" s="50"/>
      <c r="T14" s="50"/>
      <c r="U14" s="50"/>
      <c r="V14" s="53"/>
      <c r="XEY14" s="1"/>
      <c r="XEZ14" s="1"/>
      <c r="XFA14" s="1"/>
      <c r="XFB14" s="1"/>
      <c r="XFC14" s="0"/>
      <c r="XFD14" s="0"/>
    </row>
    <row r="15" s="54" customFormat="true" ht="18.55" hidden="false" customHeight="true" outlineLevel="0" collapsed="false">
      <c r="A15" s="56" t="s">
        <v>399</v>
      </c>
      <c r="B15" s="53" t="s">
        <v>386</v>
      </c>
      <c r="C15" s="52" t="n">
        <v>17</v>
      </c>
      <c r="D15" s="52" t="n">
        <f aca="false">C15+((J15+M15+N15)*0.00864197530864197)</f>
        <v>17</v>
      </c>
      <c r="E15" s="51" t="n">
        <v>61.2</v>
      </c>
      <c r="F15" s="51" t="n">
        <f aca="false">E15/C15</f>
        <v>3.6</v>
      </c>
      <c r="G15" s="52"/>
      <c r="H15" s="51"/>
      <c r="I15" s="51" t="n">
        <f aca="false">E15/O15</f>
        <v>0.666666666666667</v>
      </c>
      <c r="J15" s="52"/>
      <c r="K15" s="52"/>
      <c r="L15" s="52"/>
      <c r="M15" s="52"/>
      <c r="N15" s="52"/>
      <c r="O15" s="51" t="n">
        <v>91.8</v>
      </c>
      <c r="P15" s="52"/>
      <c r="Q15" s="53"/>
      <c r="R15" s="52"/>
      <c r="S15" s="53"/>
      <c r="T15" s="53"/>
      <c r="U15" s="53"/>
      <c r="V15" s="53"/>
      <c r="XEY15" s="1"/>
      <c r="XEZ15" s="1"/>
      <c r="XFA15" s="1"/>
      <c r="XFB15" s="1"/>
      <c r="XFC15" s="0"/>
      <c r="XFD15" s="0"/>
    </row>
    <row r="16" s="54" customFormat="true" ht="18.55" hidden="false" customHeight="true" outlineLevel="0" collapsed="false">
      <c r="A16" s="49" t="s">
        <v>400</v>
      </c>
      <c r="B16" s="53" t="s">
        <v>386</v>
      </c>
      <c r="C16" s="51" t="n">
        <v>24</v>
      </c>
      <c r="D16" s="52" t="n">
        <f aca="false">C16+((J16+M16+N16)*0.00864197530864197)</f>
        <v>24</v>
      </c>
      <c r="E16" s="51" t="n">
        <v>61.8</v>
      </c>
      <c r="F16" s="51" t="n">
        <f aca="false">E16/C16</f>
        <v>2.575</v>
      </c>
      <c r="G16" s="51" t="n">
        <v>102</v>
      </c>
      <c r="H16" s="51" t="n">
        <f aca="false">G16/C16</f>
        <v>4.25</v>
      </c>
      <c r="I16" s="51" t="n">
        <f aca="false">E16/G16</f>
        <v>0.605882352941176</v>
      </c>
      <c r="J16" s="51"/>
      <c r="K16" s="51"/>
      <c r="L16" s="51"/>
      <c r="M16" s="51"/>
      <c r="N16" s="51"/>
      <c r="O16" s="51"/>
      <c r="P16" s="51"/>
      <c r="Q16" s="50"/>
      <c r="R16" s="51"/>
      <c r="S16" s="50"/>
      <c r="T16" s="50"/>
      <c r="U16" s="50"/>
      <c r="V16" s="53"/>
      <c r="XEY16" s="1"/>
      <c r="XEZ16" s="1"/>
      <c r="XFA16" s="1"/>
      <c r="XFB16" s="1"/>
      <c r="XFC16" s="0"/>
      <c r="XFD16" s="0"/>
    </row>
    <row r="17" s="54" customFormat="true" ht="18.55" hidden="false" customHeight="true" outlineLevel="0" collapsed="false">
      <c r="A17" s="49" t="s">
        <v>401</v>
      </c>
      <c r="B17" s="53" t="s">
        <v>386</v>
      </c>
      <c r="C17" s="51" t="n">
        <v>23</v>
      </c>
      <c r="D17" s="52" t="n">
        <f aca="false">C17+((J17+M17+N17)*0.00864197530864197)</f>
        <v>23</v>
      </c>
      <c r="E17" s="51" t="n">
        <v>63</v>
      </c>
      <c r="F17" s="51" t="n">
        <f aca="false">E17/C17</f>
        <v>2.73913043478261</v>
      </c>
      <c r="G17" s="51" t="n">
        <v>108</v>
      </c>
      <c r="H17" s="51" t="n">
        <f aca="false">G17/C17</f>
        <v>4.69565217391304</v>
      </c>
      <c r="I17" s="51" t="n">
        <f aca="false">E17/G17</f>
        <v>0.583333333333333</v>
      </c>
      <c r="J17" s="51"/>
      <c r="K17" s="51"/>
      <c r="L17" s="51"/>
      <c r="M17" s="51"/>
      <c r="N17" s="51"/>
      <c r="O17" s="51"/>
      <c r="P17" s="51"/>
      <c r="Q17" s="50"/>
      <c r="R17" s="51"/>
      <c r="S17" s="50"/>
      <c r="T17" s="50"/>
      <c r="U17" s="50"/>
      <c r="V17" s="53"/>
      <c r="XEY17" s="1"/>
      <c r="XEZ17" s="1"/>
      <c r="XFA17" s="1"/>
      <c r="XFB17" s="1"/>
      <c r="XFC17" s="0"/>
      <c r="XFD17" s="0"/>
    </row>
    <row r="18" s="54" customFormat="true" ht="18.55" hidden="false" customHeight="true" outlineLevel="0" collapsed="false">
      <c r="A18" s="56" t="s">
        <v>402</v>
      </c>
      <c r="B18" s="53" t="s">
        <v>386</v>
      </c>
      <c r="C18" s="52" t="n">
        <v>13</v>
      </c>
      <c r="D18" s="52" t="n">
        <f aca="false">C18+((J18+M18+N18)*0.00864197530864197)</f>
        <v>13</v>
      </c>
      <c r="E18" s="51" t="n">
        <f aca="false">114*0.66</f>
        <v>75.24</v>
      </c>
      <c r="F18" s="51" t="n">
        <f aca="false">E18/C18</f>
        <v>5.78769230769231</v>
      </c>
      <c r="G18" s="51" t="n">
        <v>151.8</v>
      </c>
      <c r="H18" s="51" t="n">
        <f aca="false">G18/C18</f>
        <v>11.6769230769231</v>
      </c>
      <c r="I18" s="51" t="n">
        <f aca="false">E18/G18</f>
        <v>0.495652173913044</v>
      </c>
      <c r="J18" s="52"/>
      <c r="K18" s="52"/>
      <c r="L18" s="52"/>
      <c r="M18" s="52"/>
      <c r="N18" s="52"/>
      <c r="O18" s="52"/>
      <c r="P18" s="52"/>
      <c r="Q18" s="57" t="n">
        <v>-0.33</v>
      </c>
      <c r="R18" s="52" t="n">
        <v>1</v>
      </c>
      <c r="S18" s="53"/>
      <c r="T18" s="53"/>
      <c r="U18" s="53"/>
      <c r="V18" s="53"/>
      <c r="XEY18" s="1"/>
      <c r="XEZ18" s="1"/>
      <c r="XFA18" s="1"/>
      <c r="XFB18" s="1"/>
      <c r="XFC18" s="0"/>
      <c r="XFD18" s="0"/>
    </row>
    <row r="19" s="54" customFormat="true" ht="18.55" hidden="false" customHeight="true" outlineLevel="0" collapsed="false">
      <c r="A19" s="56" t="s">
        <v>403</v>
      </c>
      <c r="B19" s="53" t="s">
        <v>386</v>
      </c>
      <c r="C19" s="52" t="n">
        <v>39</v>
      </c>
      <c r="D19" s="52" t="n">
        <f aca="false">C19+((J19+M19+N19)*0.00864197530864197)</f>
        <v>39.2592592592593</v>
      </c>
      <c r="E19" s="51" t="n">
        <v>78</v>
      </c>
      <c r="F19" s="51" t="n">
        <f aca="false">E19/C19</f>
        <v>2</v>
      </c>
      <c r="G19" s="51" t="n">
        <v>78</v>
      </c>
      <c r="H19" s="51" t="n">
        <f aca="false">G19/C19</f>
        <v>2</v>
      </c>
      <c r="I19" s="51" t="n">
        <f aca="false">E19/G19</f>
        <v>1</v>
      </c>
      <c r="J19" s="52" t="n">
        <v>30</v>
      </c>
      <c r="K19" s="52"/>
      <c r="L19" s="52"/>
      <c r="M19" s="52"/>
      <c r="N19" s="52"/>
      <c r="O19" s="52"/>
      <c r="P19" s="52"/>
      <c r="Q19" s="53"/>
      <c r="R19" s="52"/>
      <c r="S19" s="53"/>
      <c r="T19" s="53"/>
      <c r="U19" s="53"/>
      <c r="V19" s="53"/>
      <c r="XEY19" s="1"/>
      <c r="XEZ19" s="1"/>
      <c r="XFA19" s="1"/>
      <c r="XFB19" s="1"/>
      <c r="XFC19" s="0"/>
      <c r="XFD19" s="0"/>
    </row>
    <row r="20" s="54" customFormat="true" ht="18.55" hidden="false" customHeight="true" outlineLevel="0" collapsed="false">
      <c r="A20" s="56" t="s">
        <v>404</v>
      </c>
      <c r="B20" s="53" t="s">
        <v>386</v>
      </c>
      <c r="C20" s="52" t="n">
        <v>60</v>
      </c>
      <c r="D20" s="52" t="n">
        <f aca="false">C20+((J20+M20+N20)*0.00864197530864197)</f>
        <v>60</v>
      </c>
      <c r="E20" s="51" t="n">
        <v>78.6</v>
      </c>
      <c r="F20" s="51" t="n">
        <f aca="false">E20/C20</f>
        <v>1.31</v>
      </c>
      <c r="G20" s="51" t="n">
        <v>78.6</v>
      </c>
      <c r="H20" s="51" t="n">
        <f aca="false">G20/C20</f>
        <v>1.31</v>
      </c>
      <c r="I20" s="51" t="n">
        <f aca="false">E20/G20</f>
        <v>1</v>
      </c>
      <c r="J20" s="52"/>
      <c r="K20" s="52"/>
      <c r="L20" s="52"/>
      <c r="M20" s="52"/>
      <c r="N20" s="52"/>
      <c r="O20" s="52"/>
      <c r="P20" s="52"/>
      <c r="Q20" s="53"/>
      <c r="R20" s="52"/>
      <c r="S20" s="53"/>
      <c r="T20" s="53"/>
      <c r="U20" s="53"/>
      <c r="V20" s="53"/>
      <c r="XEY20" s="1"/>
      <c r="XEZ20" s="1"/>
      <c r="XFA20" s="1"/>
      <c r="XFB20" s="1"/>
      <c r="XFC20" s="0"/>
      <c r="XFD20" s="0"/>
    </row>
    <row r="21" s="54" customFormat="true" ht="18.55" hidden="false" customHeight="true" outlineLevel="0" collapsed="false">
      <c r="A21" s="49" t="s">
        <v>405</v>
      </c>
      <c r="B21" s="53" t="s">
        <v>386</v>
      </c>
      <c r="C21" s="51" t="n">
        <v>29</v>
      </c>
      <c r="D21" s="52" t="n">
        <f aca="false">C21+((J21+M21+N21)*0.00864197530864197)</f>
        <v>29</v>
      </c>
      <c r="E21" s="51" t="n">
        <v>82.2</v>
      </c>
      <c r="F21" s="51" t="n">
        <f aca="false">E21/C21</f>
        <v>2.83448275862069</v>
      </c>
      <c r="G21" s="51" t="n">
        <v>156</v>
      </c>
      <c r="H21" s="51" t="n">
        <f aca="false">G21/C21</f>
        <v>5.37931034482759</v>
      </c>
      <c r="I21" s="51" t="n">
        <f aca="false">E21/G21</f>
        <v>0.526923076923077</v>
      </c>
      <c r="J21" s="51"/>
      <c r="K21" s="51"/>
      <c r="L21" s="51"/>
      <c r="M21" s="51"/>
      <c r="N21" s="51"/>
      <c r="O21" s="51"/>
      <c r="P21" s="51"/>
      <c r="Q21" s="50"/>
      <c r="R21" s="51"/>
      <c r="S21" s="50"/>
      <c r="T21" s="50"/>
      <c r="U21" s="50"/>
      <c r="V21" s="53"/>
      <c r="XEY21" s="1"/>
      <c r="XEZ21" s="1"/>
      <c r="XFA21" s="1"/>
      <c r="XFB21" s="1"/>
      <c r="XFC21" s="0"/>
      <c r="XFD21" s="0"/>
    </row>
    <row r="22" s="54" customFormat="true" ht="18.55" hidden="false" customHeight="true" outlineLevel="0" collapsed="false">
      <c r="A22" s="49" t="s">
        <v>406</v>
      </c>
      <c r="B22" s="53" t="s">
        <v>386</v>
      </c>
      <c r="C22" s="51" t="n">
        <v>28</v>
      </c>
      <c r="D22" s="52" t="n">
        <f aca="false">C22+((J22+M22+N22)*0.00864197530864197)</f>
        <v>28</v>
      </c>
      <c r="E22" s="51" t="n">
        <v>83.4</v>
      </c>
      <c r="F22" s="51" t="n">
        <f aca="false">E22/C22</f>
        <v>2.97857142857143</v>
      </c>
      <c r="G22" s="51" t="n">
        <v>162</v>
      </c>
      <c r="H22" s="51" t="n">
        <f aca="false">G22/C22</f>
        <v>5.78571428571429</v>
      </c>
      <c r="I22" s="51" t="n">
        <f aca="false">E22/G22</f>
        <v>0.514814814814815</v>
      </c>
      <c r="J22" s="51"/>
      <c r="K22" s="51"/>
      <c r="L22" s="51"/>
      <c r="M22" s="51"/>
      <c r="N22" s="51"/>
      <c r="O22" s="51"/>
      <c r="P22" s="51"/>
      <c r="Q22" s="50"/>
      <c r="R22" s="51"/>
      <c r="S22" s="50"/>
      <c r="T22" s="50"/>
      <c r="U22" s="50"/>
      <c r="V22" s="53"/>
      <c r="XEY22" s="1"/>
      <c r="XEZ22" s="1"/>
      <c r="XFA22" s="1"/>
      <c r="XFB22" s="1"/>
      <c r="XFC22" s="0"/>
      <c r="XFD22" s="0"/>
    </row>
    <row r="23" s="54" customFormat="true" ht="18.55" hidden="false" customHeight="true" outlineLevel="0" collapsed="false">
      <c r="A23" s="49" t="s">
        <v>407</v>
      </c>
      <c r="B23" s="53" t="s">
        <v>386</v>
      </c>
      <c r="C23" s="51" t="n">
        <v>27</v>
      </c>
      <c r="D23" s="52" t="n">
        <f aca="false">C23+((J23+M23+N23)*0.00864197530864197)</f>
        <v>27</v>
      </c>
      <c r="E23" s="51" t="n">
        <v>84.6</v>
      </c>
      <c r="F23" s="51" t="n">
        <f aca="false">E23/C23</f>
        <v>3.13333333333333</v>
      </c>
      <c r="G23" s="51" t="n">
        <v>168</v>
      </c>
      <c r="H23" s="51" t="n">
        <f aca="false">G23/C23</f>
        <v>6.22222222222222</v>
      </c>
      <c r="I23" s="51" t="n">
        <f aca="false">E23/G23</f>
        <v>0.503571428571429</v>
      </c>
      <c r="J23" s="51"/>
      <c r="K23" s="51"/>
      <c r="L23" s="51"/>
      <c r="M23" s="51"/>
      <c r="N23" s="51"/>
      <c r="O23" s="51"/>
      <c r="P23" s="51"/>
      <c r="Q23" s="50"/>
      <c r="R23" s="51"/>
      <c r="S23" s="50"/>
      <c r="T23" s="50"/>
      <c r="U23" s="50"/>
      <c r="V23" s="53"/>
      <c r="XEY23" s="1"/>
      <c r="XEZ23" s="1"/>
      <c r="XFA23" s="1"/>
      <c r="XFB23" s="1"/>
      <c r="XFC23" s="0"/>
      <c r="XFD23" s="0"/>
    </row>
    <row r="24" s="54" customFormat="true" ht="18.55" hidden="false" customHeight="true" outlineLevel="0" collapsed="false">
      <c r="A24" s="49" t="s">
        <v>408</v>
      </c>
      <c r="B24" s="50" t="s">
        <v>386</v>
      </c>
      <c r="C24" s="51" t="n">
        <v>31</v>
      </c>
      <c r="D24" s="52" t="n">
        <f aca="false">C24+((J24+M24+N24)*0.00864197530864197)</f>
        <v>31.1555555555556</v>
      </c>
      <c r="E24" s="51" t="n">
        <v>96</v>
      </c>
      <c r="F24" s="51" t="n">
        <f aca="false">E24/C24</f>
        <v>3.09677419354839</v>
      </c>
      <c r="G24" s="51" t="n">
        <v>144</v>
      </c>
      <c r="H24" s="51" t="n">
        <f aca="false">G24/C24</f>
        <v>4.64516129032258</v>
      </c>
      <c r="I24" s="51" t="n">
        <f aca="false">E24/G24</f>
        <v>0.666666666666667</v>
      </c>
      <c r="J24" s="51"/>
      <c r="K24" s="52" t="n">
        <v>12</v>
      </c>
      <c r="L24" s="52" t="n">
        <v>12</v>
      </c>
      <c r="M24" s="51" t="n">
        <v>18</v>
      </c>
      <c r="N24" s="51"/>
      <c r="O24" s="51"/>
      <c r="P24" s="51" t="n">
        <v>2600</v>
      </c>
      <c r="Q24" s="50"/>
      <c r="R24" s="51"/>
      <c r="S24" s="50"/>
      <c r="T24" s="50"/>
      <c r="U24" s="50"/>
      <c r="V24" s="53"/>
      <c r="XEY24" s="1"/>
      <c r="XEZ24" s="1"/>
      <c r="XFA24" s="1"/>
      <c r="XFB24" s="1"/>
      <c r="XFC24" s="0"/>
      <c r="XFD24" s="0"/>
    </row>
    <row r="25" s="54" customFormat="true" ht="18.55" hidden="false" customHeight="true" outlineLevel="0" collapsed="false">
      <c r="A25" s="49" t="s">
        <v>409</v>
      </c>
      <c r="B25" s="50" t="s">
        <v>386</v>
      </c>
      <c r="C25" s="51" t="n">
        <v>21</v>
      </c>
      <c r="D25" s="52" t="n">
        <f aca="false">C25+((J25+M25+N25)*0.00864197530864197)</f>
        <v>21</v>
      </c>
      <c r="E25" s="51" t="n">
        <f aca="false">180*0.66</f>
        <v>118.8</v>
      </c>
      <c r="F25" s="51" t="n">
        <f aca="false">E25/C25</f>
        <v>5.65714285714286</v>
      </c>
      <c r="G25" s="51" t="n">
        <v>240</v>
      </c>
      <c r="H25" s="51" t="n">
        <f aca="false">G25/C25</f>
        <v>11.4285714285714</v>
      </c>
      <c r="I25" s="51" t="n">
        <f aca="false">E25/G25</f>
        <v>0.495</v>
      </c>
      <c r="J25" s="51"/>
      <c r="K25" s="51"/>
      <c r="L25" s="51"/>
      <c r="M25" s="51"/>
      <c r="N25" s="51"/>
      <c r="O25" s="51"/>
      <c r="P25" s="51"/>
      <c r="Q25" s="58" t="n">
        <v>-0.33</v>
      </c>
      <c r="R25" s="51" t="n">
        <v>1</v>
      </c>
      <c r="S25" s="50"/>
      <c r="T25" s="50"/>
      <c r="U25" s="50"/>
      <c r="V25" s="53"/>
      <c r="XEY25" s="1"/>
      <c r="XEZ25" s="1"/>
      <c r="XFA25" s="1"/>
      <c r="XFB25" s="1"/>
      <c r="XFC25" s="0"/>
      <c r="XFD25" s="0"/>
    </row>
    <row r="26" s="54" customFormat="true" ht="18.55" hidden="false" customHeight="true" outlineLevel="0" collapsed="false">
      <c r="A26" s="56" t="s">
        <v>410</v>
      </c>
      <c r="B26" s="53" t="s">
        <v>386</v>
      </c>
      <c r="C26" s="52" t="n">
        <v>37</v>
      </c>
      <c r="D26" s="52" t="n">
        <f aca="false">C26+((J26+M26+N26)*0.00864197530864197)</f>
        <v>40.1111111111111</v>
      </c>
      <c r="E26" s="51" t="n">
        <v>138</v>
      </c>
      <c r="F26" s="51" t="n">
        <f aca="false">E26/C26</f>
        <v>3.72972972972973</v>
      </c>
      <c r="G26" s="51" t="n">
        <v>138</v>
      </c>
      <c r="H26" s="51" t="n">
        <f aca="false">G26/C26</f>
        <v>3.72972972972973</v>
      </c>
      <c r="I26" s="51" t="n">
        <f aca="false">E26/G26</f>
        <v>1</v>
      </c>
      <c r="J26" s="52"/>
      <c r="K26" s="52"/>
      <c r="L26" s="52"/>
      <c r="M26" s="52"/>
      <c r="N26" s="51" t="n">
        <v>360</v>
      </c>
      <c r="O26" s="51" t="n">
        <v>54</v>
      </c>
      <c r="P26" s="52"/>
      <c r="Q26" s="53"/>
      <c r="R26" s="52"/>
      <c r="S26" s="53"/>
      <c r="T26" s="53"/>
      <c r="U26" s="53"/>
      <c r="V26" s="53"/>
      <c r="XEY26" s="1"/>
      <c r="XEZ26" s="1"/>
      <c r="XFA26" s="1"/>
      <c r="XFB26" s="1"/>
      <c r="XFC26" s="0"/>
      <c r="XFD26" s="0"/>
    </row>
    <row r="27" s="54" customFormat="true" ht="18.55" hidden="false" customHeight="true" outlineLevel="0" collapsed="false">
      <c r="A27" s="56" t="s">
        <v>411</v>
      </c>
      <c r="B27" s="53" t="s">
        <v>386</v>
      </c>
      <c r="C27" s="52" t="n">
        <v>49</v>
      </c>
      <c r="D27" s="52" t="n">
        <f aca="false">C27+((J27+M27+N27)*0.00864197530864197)</f>
        <v>53.6666666666667</v>
      </c>
      <c r="E27" s="51" t="n">
        <v>150</v>
      </c>
      <c r="F27" s="51" t="n">
        <f aca="false">E27/C27</f>
        <v>3.06122448979592</v>
      </c>
      <c r="G27" s="51" t="n">
        <v>150</v>
      </c>
      <c r="H27" s="51" t="n">
        <f aca="false">G27/C27</f>
        <v>3.06122448979592</v>
      </c>
      <c r="I27" s="51" t="n">
        <f aca="false">E27/G27</f>
        <v>1</v>
      </c>
      <c r="J27" s="52" t="n">
        <v>540</v>
      </c>
      <c r="K27" s="52"/>
      <c r="L27" s="52"/>
      <c r="M27" s="52"/>
      <c r="N27" s="52"/>
      <c r="O27" s="51" t="n">
        <v>54</v>
      </c>
      <c r="P27" s="52"/>
      <c r="Q27" s="53"/>
      <c r="R27" s="52"/>
      <c r="S27" s="53"/>
      <c r="T27" s="53"/>
      <c r="U27" s="53"/>
      <c r="V27" s="50"/>
      <c r="XEY27" s="1"/>
      <c r="XEZ27" s="1"/>
      <c r="XFA27" s="1"/>
      <c r="XFB27" s="1"/>
      <c r="XFC27" s="0"/>
      <c r="XFD27" s="0"/>
    </row>
    <row r="28" s="54" customFormat="true" ht="18.55" hidden="false" customHeight="true" outlineLevel="0" collapsed="false">
      <c r="A28" s="49" t="s">
        <v>412</v>
      </c>
      <c r="B28" s="50" t="s">
        <v>386</v>
      </c>
      <c r="C28" s="51" t="n">
        <v>25</v>
      </c>
      <c r="D28" s="52" t="n">
        <f aca="false">C28+((J28+M28+N28)*0.00864197530864197)</f>
        <v>25</v>
      </c>
      <c r="E28" s="51" t="n">
        <v>180</v>
      </c>
      <c r="F28" s="51" t="n">
        <f aca="false">E28/C28</f>
        <v>7.2</v>
      </c>
      <c r="G28" s="51" t="n">
        <v>360</v>
      </c>
      <c r="H28" s="51" t="n">
        <f aca="false">G28/C28</f>
        <v>14.4</v>
      </c>
      <c r="I28" s="51" t="n">
        <f aca="false">E28/G28</f>
        <v>0.5</v>
      </c>
      <c r="J28" s="51"/>
      <c r="K28" s="51"/>
      <c r="L28" s="51"/>
      <c r="M28" s="51"/>
      <c r="N28" s="51"/>
      <c r="O28" s="51"/>
      <c r="P28" s="51"/>
      <c r="Q28" s="50"/>
      <c r="R28" s="51"/>
      <c r="S28" s="50"/>
      <c r="T28" s="50"/>
      <c r="U28" s="50"/>
      <c r="V28" s="50"/>
      <c r="XEY28" s="1"/>
      <c r="XEZ28" s="1"/>
      <c r="XFA28" s="1"/>
      <c r="XFB28" s="1"/>
      <c r="XFC28" s="0"/>
      <c r="XFD28" s="0"/>
    </row>
    <row r="29" s="54" customFormat="true" ht="18.55" hidden="false" customHeight="true" outlineLevel="0" collapsed="false">
      <c r="A29" s="49" t="s">
        <v>413</v>
      </c>
      <c r="B29" s="53" t="s">
        <v>386</v>
      </c>
      <c r="C29" s="51" t="n">
        <v>33</v>
      </c>
      <c r="D29" s="52" t="n">
        <f aca="false">C29+((J29+M29+N29)*0.00864197530864197)</f>
        <v>33</v>
      </c>
      <c r="E29" s="51" t="n">
        <v>183</v>
      </c>
      <c r="F29" s="51" t="n">
        <f aca="false">E29/C29</f>
        <v>5.54545454545455</v>
      </c>
      <c r="G29" s="51" t="n">
        <v>468</v>
      </c>
      <c r="H29" s="51" t="n">
        <f aca="false">G29/C29</f>
        <v>14.1818181818182</v>
      </c>
      <c r="I29" s="51" t="n">
        <f aca="false">E29/G29</f>
        <v>0.391025641025641</v>
      </c>
      <c r="J29" s="51"/>
      <c r="K29" s="51"/>
      <c r="L29" s="51"/>
      <c r="M29" s="51"/>
      <c r="N29" s="51"/>
      <c r="O29" s="51"/>
      <c r="P29" s="51"/>
      <c r="Q29" s="50"/>
      <c r="R29" s="51"/>
      <c r="S29" s="50"/>
      <c r="T29" s="50"/>
      <c r="U29" s="50"/>
      <c r="V29" s="50"/>
      <c r="XEY29" s="1"/>
      <c r="XEZ29" s="1"/>
      <c r="XFA29" s="1"/>
      <c r="XFB29" s="1"/>
      <c r="XFC29" s="0"/>
      <c r="XFD29" s="0"/>
    </row>
    <row r="30" s="54" customFormat="true" ht="18.55" hidden="false" customHeight="true" outlineLevel="0" collapsed="false">
      <c r="A30" s="56" t="s">
        <v>414</v>
      </c>
      <c r="B30" s="53" t="s">
        <v>386</v>
      </c>
      <c r="C30" s="52" t="n">
        <v>53</v>
      </c>
      <c r="D30" s="52" t="n">
        <f aca="false">C30+((J30+M30+N30)*0.00864197530864197)</f>
        <v>53.3111111111111</v>
      </c>
      <c r="E30" s="51" t="n">
        <v>186</v>
      </c>
      <c r="F30" s="51" t="n">
        <f aca="false">E30/C30</f>
        <v>3.50943396226415</v>
      </c>
      <c r="G30" s="51" t="n">
        <v>276</v>
      </c>
      <c r="H30" s="51" t="n">
        <f aca="false">G30/C30</f>
        <v>5.20754716981132</v>
      </c>
      <c r="I30" s="51" t="n">
        <f aca="false">E30/G30</f>
        <v>0.673913043478261</v>
      </c>
      <c r="J30" s="52"/>
      <c r="K30" s="52" t="n">
        <v>24</v>
      </c>
      <c r="L30" s="52" t="n">
        <v>24</v>
      </c>
      <c r="M30" s="51" t="n">
        <v>36</v>
      </c>
      <c r="N30" s="52"/>
      <c r="O30" s="52"/>
      <c r="P30" s="52" t="n">
        <v>5200</v>
      </c>
      <c r="Q30" s="53"/>
      <c r="R30" s="52"/>
      <c r="S30" s="53"/>
      <c r="T30" s="53"/>
      <c r="U30" s="53"/>
      <c r="V30" s="50"/>
      <c r="XEY30" s="1"/>
      <c r="XEZ30" s="1"/>
      <c r="XFA30" s="1"/>
      <c r="XFB30" s="1"/>
      <c r="XFC30" s="0"/>
      <c r="XFD30" s="0"/>
    </row>
    <row r="31" s="54" customFormat="true" ht="18.55" hidden="false" customHeight="true" outlineLevel="0" collapsed="false">
      <c r="A31" s="56" t="s">
        <v>415</v>
      </c>
      <c r="B31" s="53" t="s">
        <v>386</v>
      </c>
      <c r="C31" s="52" t="n">
        <v>41</v>
      </c>
      <c r="D31" s="52" t="n">
        <f aca="false">C31+((J31+M31+N31)*0.00864197530864197)</f>
        <v>41</v>
      </c>
      <c r="E31" s="51" t="n">
        <v>210</v>
      </c>
      <c r="F31" s="51" t="n">
        <f aca="false">E31/C31</f>
        <v>5.1219512195122</v>
      </c>
      <c r="G31" s="51" t="n">
        <v>420</v>
      </c>
      <c r="H31" s="51" t="n">
        <f aca="false">G31/C31</f>
        <v>10.2439024390244</v>
      </c>
      <c r="I31" s="51" t="n">
        <f aca="false">E31/G31</f>
        <v>0.5</v>
      </c>
      <c r="J31" s="52"/>
      <c r="K31" s="52"/>
      <c r="L31" s="52"/>
      <c r="M31" s="52"/>
      <c r="N31" s="52"/>
      <c r="O31" s="52"/>
      <c r="P31" s="52"/>
      <c r="Q31" s="53"/>
      <c r="R31" s="52"/>
      <c r="S31" s="53"/>
      <c r="T31" s="53"/>
      <c r="U31" s="53"/>
      <c r="V31" s="50"/>
      <c r="XEY31" s="1"/>
      <c r="XEZ31" s="1"/>
      <c r="XFA31" s="1"/>
      <c r="XFB31" s="1"/>
      <c r="XFC31" s="0"/>
      <c r="XFD31" s="0"/>
    </row>
    <row r="32" s="54" customFormat="true" ht="18.55" hidden="false" customHeight="true" outlineLevel="0" collapsed="false">
      <c r="A32" s="49" t="s">
        <v>416</v>
      </c>
      <c r="B32" s="50" t="s">
        <v>386</v>
      </c>
      <c r="C32" s="51" t="n">
        <v>91</v>
      </c>
      <c r="D32" s="52" t="n">
        <f aca="false">C32+((J32+M32+N32)*0.00864197530864197)</f>
        <v>91.6222222222222</v>
      </c>
      <c r="E32" s="51" t="n">
        <v>360</v>
      </c>
      <c r="F32" s="51" t="n">
        <f aca="false">E32/C32</f>
        <v>3.95604395604396</v>
      </c>
      <c r="G32" s="51" t="n">
        <v>528</v>
      </c>
      <c r="H32" s="51" t="n">
        <f aca="false">G32/C32</f>
        <v>5.8021978021978</v>
      </c>
      <c r="I32" s="51" t="n">
        <f aca="false">E32/G32</f>
        <v>0.681818181818182</v>
      </c>
      <c r="J32" s="51"/>
      <c r="K32" s="52" t="n">
        <v>48</v>
      </c>
      <c r="L32" s="52" t="n">
        <v>48</v>
      </c>
      <c r="M32" s="51" t="n">
        <v>72</v>
      </c>
      <c r="N32" s="51"/>
      <c r="O32" s="51"/>
      <c r="P32" s="51" t="n">
        <v>10400</v>
      </c>
      <c r="Q32" s="50"/>
      <c r="R32" s="51"/>
      <c r="S32" s="50"/>
      <c r="T32" s="50"/>
      <c r="U32" s="50"/>
      <c r="V32" s="50"/>
      <c r="XEY32" s="1"/>
      <c r="XEZ32" s="1"/>
      <c r="XFA32" s="1"/>
      <c r="XFB32" s="1"/>
      <c r="XFC32" s="0"/>
      <c r="XFD32" s="0"/>
    </row>
    <row r="33" s="54" customFormat="true" ht="18.55" hidden="false" customHeight="true" outlineLevel="0" collapsed="false">
      <c r="A33" s="56" t="s">
        <v>417</v>
      </c>
      <c r="B33" s="53" t="s">
        <v>386</v>
      </c>
      <c r="C33" s="52" t="n">
        <v>3</v>
      </c>
      <c r="D33" s="52" t="n">
        <f aca="false">C33+((J33+M33+N33)*0.00864197530864197)</f>
        <v>3</v>
      </c>
      <c r="E33" s="52"/>
      <c r="F33" s="52"/>
      <c r="G33" s="52"/>
      <c r="H33" s="52"/>
      <c r="I33" s="52"/>
      <c r="J33" s="52"/>
      <c r="K33" s="52"/>
      <c r="L33" s="52"/>
      <c r="M33" s="52"/>
      <c r="N33" s="52"/>
      <c r="O33" s="52"/>
      <c r="P33" s="52"/>
      <c r="Q33" s="57" t="n">
        <v>0.33</v>
      </c>
      <c r="R33" s="52" t="n">
        <v>-2</v>
      </c>
      <c r="S33" s="53"/>
      <c r="T33" s="53"/>
      <c r="U33" s="53"/>
      <c r="V33" s="50"/>
      <c r="XEY33" s="1"/>
      <c r="XEZ33" s="1"/>
      <c r="XFA33" s="1"/>
      <c r="XFB33" s="1"/>
      <c r="XFC33" s="0"/>
      <c r="XFD33" s="0"/>
    </row>
    <row r="34" s="54" customFormat="true" ht="18.55" hidden="false" customHeight="true" outlineLevel="0" collapsed="false">
      <c r="A34" s="56" t="s">
        <v>418</v>
      </c>
      <c r="B34" s="53" t="s">
        <v>419</v>
      </c>
      <c r="C34" s="52" t="n">
        <v>6</v>
      </c>
      <c r="D34" s="52" t="n">
        <f aca="false">C34+((J34+M34+N34)*0.00864197530864197)</f>
        <v>6.05185185185185</v>
      </c>
      <c r="E34" s="52"/>
      <c r="F34" s="52"/>
      <c r="G34" s="52"/>
      <c r="H34" s="52"/>
      <c r="I34" s="52"/>
      <c r="J34" s="52"/>
      <c r="K34" s="52" t="n">
        <v>7.2</v>
      </c>
      <c r="L34" s="52" t="n">
        <v>7.2</v>
      </c>
      <c r="M34" s="51" t="n">
        <v>6</v>
      </c>
      <c r="N34" s="52"/>
      <c r="O34" s="52"/>
      <c r="P34" s="52"/>
      <c r="Q34" s="53"/>
      <c r="R34" s="52"/>
      <c r="S34" s="53"/>
      <c r="T34" s="53"/>
      <c r="U34" s="53"/>
      <c r="V34" s="50"/>
      <c r="XEY34" s="1"/>
      <c r="XEZ34" s="1"/>
      <c r="XFA34" s="1"/>
      <c r="XFB34" s="1"/>
      <c r="XFC34" s="0"/>
      <c r="XFD34" s="0"/>
    </row>
    <row r="35" s="54" customFormat="true" ht="18.55" hidden="false" customHeight="true" outlineLevel="0" collapsed="false">
      <c r="A35" s="49" t="s">
        <v>420</v>
      </c>
      <c r="B35" s="50" t="s">
        <v>386</v>
      </c>
      <c r="C35" s="51" t="n">
        <v>7</v>
      </c>
      <c r="D35" s="52" t="n">
        <f aca="false">C35+((J35+M35+N35)*0.00864197530864197)</f>
        <v>7.16592592592593</v>
      </c>
      <c r="E35" s="51"/>
      <c r="F35" s="51"/>
      <c r="G35" s="51"/>
      <c r="H35" s="51"/>
      <c r="I35" s="51"/>
      <c r="J35" s="52" t="n">
        <v>19.2</v>
      </c>
      <c r="K35" s="52" t="n">
        <v>-15</v>
      </c>
      <c r="L35" s="51"/>
      <c r="M35" s="51"/>
      <c r="N35" s="51"/>
      <c r="O35" s="51"/>
      <c r="P35" s="51"/>
      <c r="Q35" s="50"/>
      <c r="R35" s="51"/>
      <c r="S35" s="58" t="n">
        <v>0.2</v>
      </c>
      <c r="T35" s="58" t="n">
        <v>0.2</v>
      </c>
      <c r="U35" s="58" t="n">
        <v>0.2</v>
      </c>
      <c r="V35" s="50"/>
      <c r="XEY35" s="1"/>
      <c r="XEZ35" s="1"/>
      <c r="XFA35" s="1"/>
      <c r="XFB35" s="1"/>
      <c r="XFC35" s="0"/>
      <c r="XFD35" s="0"/>
    </row>
    <row r="36" s="54" customFormat="true" ht="18.55" hidden="false" customHeight="true" outlineLevel="0" collapsed="false">
      <c r="A36" s="49" t="s">
        <v>421</v>
      </c>
      <c r="B36" s="50" t="s">
        <v>419</v>
      </c>
      <c r="C36" s="51" t="n">
        <v>21</v>
      </c>
      <c r="D36" s="52" t="n">
        <f aca="false">C36+((J36+M36+N36)*0.00864197530864197)</f>
        <v>21.2592592592593</v>
      </c>
      <c r="E36" s="51"/>
      <c r="F36" s="51"/>
      <c r="G36" s="51"/>
      <c r="H36" s="51"/>
      <c r="I36" s="51"/>
      <c r="J36" s="51"/>
      <c r="K36" s="52" t="n">
        <v>34.2</v>
      </c>
      <c r="L36" s="52" t="n">
        <v>34.2</v>
      </c>
      <c r="M36" s="51" t="n">
        <v>30</v>
      </c>
      <c r="N36" s="51"/>
      <c r="O36" s="51"/>
      <c r="P36" s="51"/>
      <c r="Q36" s="50"/>
      <c r="R36" s="51"/>
      <c r="S36" s="50"/>
      <c r="T36" s="50"/>
      <c r="U36" s="50"/>
      <c r="V36" s="50"/>
      <c r="XEY36" s="1"/>
      <c r="XEZ36" s="1"/>
      <c r="XFA36" s="1"/>
      <c r="XFB36" s="1"/>
      <c r="XFC36" s="0"/>
      <c r="XFD36" s="0"/>
    </row>
    <row r="37" s="54" customFormat="true" ht="18.55" hidden="false" customHeight="true" outlineLevel="0" collapsed="false">
      <c r="A37" s="49" t="s">
        <v>422</v>
      </c>
      <c r="B37" s="50" t="s">
        <v>419</v>
      </c>
      <c r="C37" s="51" t="n">
        <v>23</v>
      </c>
      <c r="D37" s="52" t="n">
        <f aca="false">C37+((J37+M37+N37)*0.00864197530864197)</f>
        <v>23</v>
      </c>
      <c r="E37" s="51"/>
      <c r="F37" s="51"/>
      <c r="G37" s="51"/>
      <c r="H37" s="51"/>
      <c r="I37" s="51"/>
      <c r="J37" s="51"/>
      <c r="K37" s="52" t="n">
        <v>43.2</v>
      </c>
      <c r="L37" s="52" t="n">
        <v>64.8</v>
      </c>
      <c r="M37" s="52"/>
      <c r="N37" s="52"/>
      <c r="O37" s="52"/>
      <c r="P37" s="51"/>
      <c r="Q37" s="50"/>
      <c r="R37" s="52"/>
      <c r="S37" s="53"/>
      <c r="T37" s="53"/>
      <c r="U37" s="53"/>
      <c r="V37" s="50"/>
      <c r="XEY37" s="1"/>
      <c r="XEZ37" s="1"/>
      <c r="XFA37" s="1"/>
      <c r="XFB37" s="1"/>
      <c r="XFC37" s="0"/>
      <c r="XFD37" s="0"/>
    </row>
    <row r="38" s="54" customFormat="true" ht="18.55" hidden="false" customHeight="true" outlineLevel="0" collapsed="false">
      <c r="A38" s="56" t="s">
        <v>423</v>
      </c>
      <c r="B38" s="50" t="s">
        <v>419</v>
      </c>
      <c r="C38" s="52" t="n">
        <v>25</v>
      </c>
      <c r="D38" s="52" t="n">
        <f aca="false">C38+((J38+M38+N38)*0.00864197530864197)</f>
        <v>25</v>
      </c>
      <c r="E38" s="51"/>
      <c r="F38" s="52"/>
      <c r="G38" s="52"/>
      <c r="H38" s="52"/>
      <c r="I38" s="52"/>
      <c r="J38" s="52"/>
      <c r="K38" s="52" t="n">
        <v>41.7</v>
      </c>
      <c r="L38" s="52" t="n">
        <v>52.8</v>
      </c>
      <c r="M38" s="52"/>
      <c r="N38" s="52"/>
      <c r="O38" s="52"/>
      <c r="P38" s="52"/>
      <c r="Q38" s="53"/>
      <c r="R38" s="52"/>
      <c r="S38" s="53"/>
      <c r="T38" s="53"/>
      <c r="U38" s="53"/>
      <c r="V38" s="53"/>
      <c r="XEY38" s="1"/>
      <c r="XEZ38" s="1"/>
      <c r="XFA38" s="1"/>
      <c r="XFB38" s="1"/>
      <c r="XFC38" s="0"/>
      <c r="XFD38" s="0"/>
    </row>
    <row r="39" s="54" customFormat="true" ht="18.55" hidden="false" customHeight="true" outlineLevel="0" collapsed="false">
      <c r="A39" s="56" t="s">
        <v>424</v>
      </c>
      <c r="B39" s="50" t="s">
        <v>419</v>
      </c>
      <c r="C39" s="52" t="n">
        <v>27</v>
      </c>
      <c r="D39" s="52" t="n">
        <f aca="false">C39+((J39+M39+N39)*0.00864197530864197)</f>
        <v>27</v>
      </c>
      <c r="E39" s="51"/>
      <c r="F39" s="52"/>
      <c r="G39" s="52"/>
      <c r="H39" s="52"/>
      <c r="I39" s="52"/>
      <c r="J39" s="52"/>
      <c r="K39" s="52" t="n">
        <v>40.2</v>
      </c>
      <c r="L39" s="52" t="n">
        <v>40.8</v>
      </c>
      <c r="M39" s="52"/>
      <c r="N39" s="52"/>
      <c r="O39" s="52"/>
      <c r="P39" s="52"/>
      <c r="Q39" s="53"/>
      <c r="R39" s="52"/>
      <c r="S39" s="53"/>
      <c r="T39" s="53"/>
      <c r="U39" s="53"/>
      <c r="V39" s="50"/>
      <c r="XEY39" s="1"/>
      <c r="XEZ39" s="1"/>
      <c r="XFA39" s="1"/>
      <c r="XFB39" s="1"/>
      <c r="XFC39" s="0"/>
      <c r="XFD39" s="0"/>
    </row>
    <row r="40" s="54" customFormat="true" ht="18.55" hidden="false" customHeight="true" outlineLevel="0" collapsed="false">
      <c r="A40" s="56" t="s">
        <v>425</v>
      </c>
      <c r="B40" s="50" t="s">
        <v>419</v>
      </c>
      <c r="C40" s="52" t="n">
        <v>28</v>
      </c>
      <c r="D40" s="52" t="n">
        <f aca="false">C40+((J40+M40+N40)*0.00864197530864197)</f>
        <v>28</v>
      </c>
      <c r="E40" s="51"/>
      <c r="F40" s="52"/>
      <c r="G40" s="52"/>
      <c r="H40" s="52"/>
      <c r="I40" s="52"/>
      <c r="J40" s="52"/>
      <c r="K40" s="52" t="n">
        <v>58.2</v>
      </c>
      <c r="L40" s="52" t="n">
        <v>109.8</v>
      </c>
      <c r="M40" s="52"/>
      <c r="N40" s="52"/>
      <c r="O40" s="52"/>
      <c r="P40" s="52"/>
      <c r="Q40" s="53"/>
      <c r="R40" s="52"/>
      <c r="S40" s="53"/>
      <c r="T40" s="53"/>
      <c r="U40" s="53"/>
      <c r="V40" s="50"/>
      <c r="XEY40" s="1"/>
      <c r="XEZ40" s="1"/>
      <c r="XFA40" s="1"/>
      <c r="XFB40" s="1"/>
      <c r="XFC40" s="0"/>
      <c r="XFD40" s="0"/>
    </row>
    <row r="41" s="54" customFormat="true" ht="18.55" hidden="false" customHeight="true" outlineLevel="0" collapsed="false">
      <c r="A41" s="56" t="s">
        <v>426</v>
      </c>
      <c r="B41" s="50" t="s">
        <v>419</v>
      </c>
      <c r="C41" s="52" t="n">
        <v>29</v>
      </c>
      <c r="D41" s="52" t="n">
        <f aca="false">C41+((J41+M41+N41)*0.00864197530864197)</f>
        <v>29</v>
      </c>
      <c r="E41" s="51"/>
      <c r="F41" s="52"/>
      <c r="G41" s="52"/>
      <c r="H41" s="52"/>
      <c r="I41" s="52"/>
      <c r="J41" s="52"/>
      <c r="K41" s="52" t="n">
        <v>38.7</v>
      </c>
      <c r="L41" s="52" t="n">
        <v>28.8</v>
      </c>
      <c r="M41" s="52"/>
      <c r="N41" s="52"/>
      <c r="O41" s="52"/>
      <c r="P41" s="52"/>
      <c r="Q41" s="53"/>
      <c r="R41" s="52"/>
      <c r="S41" s="53"/>
      <c r="T41" s="53"/>
      <c r="U41" s="53"/>
      <c r="V41" s="50"/>
      <c r="XEY41" s="1"/>
      <c r="XEZ41" s="1"/>
      <c r="XFA41" s="1"/>
      <c r="XFB41" s="1"/>
      <c r="XFC41" s="0"/>
      <c r="XFD41" s="0"/>
    </row>
    <row r="42" s="54" customFormat="true" ht="18.55" hidden="false" customHeight="true" outlineLevel="0" collapsed="false">
      <c r="A42" s="56" t="s">
        <v>427</v>
      </c>
      <c r="B42" s="50" t="s">
        <v>419</v>
      </c>
      <c r="C42" s="52" t="n">
        <v>30</v>
      </c>
      <c r="D42" s="52" t="n">
        <f aca="false">C42+((J42+M42+N42)*0.00864197530864197)</f>
        <v>30</v>
      </c>
      <c r="E42" s="51"/>
      <c r="F42" s="52"/>
      <c r="G42" s="52"/>
      <c r="H42" s="52"/>
      <c r="I42" s="52"/>
      <c r="J42" s="52"/>
      <c r="K42" s="52" t="n">
        <v>56.7</v>
      </c>
      <c r="L42" s="52" t="n">
        <v>97.8</v>
      </c>
      <c r="M42" s="52"/>
      <c r="N42" s="52"/>
      <c r="O42" s="52"/>
      <c r="P42" s="52"/>
      <c r="Q42" s="53"/>
      <c r="R42" s="52"/>
      <c r="S42" s="53"/>
      <c r="T42" s="53"/>
      <c r="U42" s="53"/>
      <c r="V42" s="50"/>
      <c r="XEY42" s="1"/>
      <c r="XEZ42" s="1"/>
      <c r="XFA42" s="1"/>
      <c r="XFB42" s="1"/>
      <c r="XFC42" s="0"/>
      <c r="XFD42" s="0"/>
    </row>
    <row r="43" s="54" customFormat="true" ht="18.55" hidden="false" customHeight="true" outlineLevel="0" collapsed="false">
      <c r="A43" s="56" t="s">
        <v>428</v>
      </c>
      <c r="B43" s="50" t="s">
        <v>419</v>
      </c>
      <c r="C43" s="52" t="n">
        <v>31</v>
      </c>
      <c r="D43" s="52" t="n">
        <f aca="false">C43+((J43+M43+N43)*0.00864197530864197)</f>
        <v>31</v>
      </c>
      <c r="E43" s="51"/>
      <c r="F43" s="52"/>
      <c r="G43" s="52"/>
      <c r="H43" s="52"/>
      <c r="I43" s="52"/>
      <c r="J43" s="52"/>
      <c r="K43" s="52" t="n">
        <v>37.2</v>
      </c>
      <c r="L43" s="52" t="n">
        <v>16.8</v>
      </c>
      <c r="M43" s="52"/>
      <c r="N43" s="52"/>
      <c r="O43" s="52"/>
      <c r="P43" s="52"/>
      <c r="Q43" s="53"/>
      <c r="R43" s="52"/>
      <c r="S43" s="53"/>
      <c r="T43" s="53"/>
      <c r="U43" s="53"/>
      <c r="V43" s="50"/>
      <c r="XEY43" s="1"/>
      <c r="XEZ43" s="1"/>
      <c r="XFA43" s="1"/>
      <c r="XFB43" s="1"/>
      <c r="XFC43" s="0"/>
      <c r="XFD43" s="0"/>
    </row>
    <row r="44" s="54" customFormat="true" ht="18.55" hidden="false" customHeight="true" outlineLevel="0" collapsed="false">
      <c r="A44" s="56" t="s">
        <v>429</v>
      </c>
      <c r="B44" s="50" t="s">
        <v>419</v>
      </c>
      <c r="C44" s="52" t="n">
        <v>32</v>
      </c>
      <c r="D44" s="52" t="n">
        <f aca="false">C44+((J44+M44+N44)*0.00864197530864197)</f>
        <v>32</v>
      </c>
      <c r="E44" s="51"/>
      <c r="F44" s="52"/>
      <c r="G44" s="52"/>
      <c r="H44" s="52"/>
      <c r="I44" s="52"/>
      <c r="J44" s="52"/>
      <c r="K44" s="52" t="n">
        <v>55.2</v>
      </c>
      <c r="L44" s="52" t="n">
        <v>85.8</v>
      </c>
      <c r="M44" s="52"/>
      <c r="N44" s="52"/>
      <c r="O44" s="52"/>
      <c r="P44" s="52"/>
      <c r="Q44" s="53"/>
      <c r="R44" s="52"/>
      <c r="S44" s="53"/>
      <c r="T44" s="53"/>
      <c r="U44" s="53"/>
      <c r="V44" s="50"/>
      <c r="XEY44" s="1"/>
      <c r="XEZ44" s="1"/>
      <c r="XFA44" s="1"/>
      <c r="XFB44" s="1"/>
      <c r="XFC44" s="0"/>
      <c r="XFD44" s="0"/>
    </row>
    <row r="45" s="54" customFormat="true" ht="18.55" hidden="false" customHeight="true" outlineLevel="0" collapsed="false">
      <c r="A45" s="56" t="s">
        <v>430</v>
      </c>
      <c r="B45" s="50" t="s">
        <v>419</v>
      </c>
      <c r="C45" s="52" t="n">
        <v>33</v>
      </c>
      <c r="D45" s="52" t="n">
        <f aca="false">C45+((J45+M45+N45)*0.00864197530864197)</f>
        <v>33</v>
      </c>
      <c r="E45" s="51"/>
      <c r="F45" s="52"/>
      <c r="G45" s="52"/>
      <c r="H45" s="52"/>
      <c r="I45" s="52"/>
      <c r="J45" s="52"/>
      <c r="K45" s="52" t="n">
        <v>73.2</v>
      </c>
      <c r="L45" s="52" t="n">
        <v>154.8</v>
      </c>
      <c r="M45" s="52"/>
      <c r="N45" s="52"/>
      <c r="O45" s="52"/>
      <c r="P45" s="52"/>
      <c r="Q45" s="53"/>
      <c r="R45" s="52"/>
      <c r="S45" s="53"/>
      <c r="T45" s="53"/>
      <c r="U45" s="53"/>
      <c r="V45" s="50"/>
      <c r="XEY45" s="1"/>
      <c r="XEZ45" s="1"/>
      <c r="XFA45" s="1"/>
      <c r="XFB45" s="1"/>
      <c r="XFC45" s="0"/>
      <c r="XFD45" s="0"/>
    </row>
  </sheetData>
  <autoFilter ref="A1:U45"/>
  <conditionalFormatting sqref="A1:V1">
    <cfRule type="expression" priority="2" aboveAverage="0" equalAverage="0" bottom="0" percent="0" rank="0" text="" dxfId="0">
      <formula>AND(OR(COUNTIF('master sheet'!$A$2:$A$111,A1)&gt;0,COUNTIF('master sheet'!$C$2:$C$111,A1)&gt;0),IF(COUNTIF('master sheet'!$A$2:$A$111,A1)&gt;0,INDEX('master sheet'!$B$2:$B$111,MATCH(A1,'master sheet'!$A$2:$A$111,0)),INDEX('master sheet'!$B$2:$B$111,MATCH(A1,'master sheet'!$C$2:$C$111,0)))&lt;&gt;"")</formula>
    </cfRule>
  </conditionalFormatting>
  <conditionalFormatting sqref="A1:V1">
    <cfRule type="expression" priority="3" aboveAverage="0" equalAverage="0" bottom="0" percent="0" rank="0" text="" dxfId="1">
      <formula>AND(COUNTIF('master sheet'!$A$2:$A$111,A1)=0,COUNTIF('master sheet'!$C$2:$C$111,A1)=0)</formula>
    </cfRule>
  </conditionalFormatting>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&amp;C&amp;"Arial,Regular"&amp;10&amp;Kffffff&amp;A</oddHeader>
    <oddFooter>&amp;C&amp;"Arial,Regular"&amp;10&amp;KffffffPage &amp;P</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59765625" defaultRowHeight="13.8" zeroHeight="false" outlineLevelRow="0" outlineLevelCol="0"/>
  <cols>
    <col collapsed="false" customWidth="true" hidden="false" outlineLevel="0" max="1" min="1" style="1" width="14.52"/>
    <col collapsed="false" customWidth="true" hidden="false" outlineLevel="0" max="9" min="2" style="1" width="6.74"/>
    <col collapsed="false" customWidth="true" hidden="false" outlineLevel="0" max="28" min="10" style="0" width="6.74"/>
  </cols>
  <sheetData>
    <row r="1" customFormat="false" ht="90.7" hidden="false" customHeight="true" outlineLevel="0" collapsed="false">
      <c r="A1" s="3" t="s">
        <v>0</v>
      </c>
      <c r="B1" s="3" t="s">
        <v>1</v>
      </c>
      <c r="C1" s="3" t="s">
        <v>26</v>
      </c>
      <c r="D1" s="3" t="s">
        <v>62</v>
      </c>
      <c r="E1" s="2" t="s">
        <v>83</v>
      </c>
    </row>
    <row r="2" customFormat="false" ht="13.8" hidden="false" customHeight="false" outlineLevel="0" collapsed="false">
      <c r="A2" s="4" t="s">
        <v>431</v>
      </c>
      <c r="B2" s="5" t="n">
        <v>15</v>
      </c>
      <c r="C2" s="5" t="n">
        <v>-20</v>
      </c>
      <c r="D2" s="5" t="n">
        <v>1</v>
      </c>
      <c r="E2" s="5" t="n">
        <v>-0.0065</v>
      </c>
    </row>
    <row r="3" customFormat="false" ht="13.8" hidden="false" customHeight="false" outlineLevel="0" collapsed="false">
      <c r="A3" s="6" t="s">
        <v>432</v>
      </c>
      <c r="B3" s="7" t="n">
        <v>-20</v>
      </c>
      <c r="C3" s="7" t="n">
        <v>15</v>
      </c>
      <c r="D3" s="7"/>
      <c r="E3" s="7"/>
    </row>
  </sheetData>
  <conditionalFormatting sqref="A1:E1">
    <cfRule type="expression" priority="2" aboveAverage="0" equalAverage="0" bottom="0" percent="0" rank="0" text="" dxfId="0">
      <formula>AND(OR(COUNTIF('master sheet'!$A$2:$A$111,A1)&gt;0,COUNTIF('master sheet'!$C$2:$C$111,A1)&gt;0),IF(COUNTIF('master sheet'!$A$2:$A$111,A1)&gt;0,INDEX('master sheet'!$B$2:$B$111,MATCH(A1,'master sheet'!$A$2:$A$111,0)),INDEX('master sheet'!$B$2:$B$111,MATCH(A1,'master sheet'!$C$2:$C$111,0)))&lt;&gt;"")</formula>
    </cfRule>
  </conditionalFormatting>
  <conditionalFormatting sqref="A1:E1">
    <cfRule type="expression" priority="3" aboveAverage="0" equalAverage="0" bottom="0" percent="0" rank="0" text="" dxfId="1">
      <formula>AND(COUNTIF('master sheet'!$A$2:$A$111,A1)=0,COUNTIF('master sheet'!$C$2:$C$111,A1)=0)</formula>
    </cfRule>
  </conditionalFormatting>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&amp;C&amp;"Arial,Regular"&amp;10&amp;Kffffff&amp;A</oddHeader>
    <oddFooter>&amp;C&amp;"Arial,Regular"&amp;10&amp;KffffffPage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3.8" zeroHeight="false" outlineLevelRow="0" outlineLevelCol="0"/>
  <cols>
    <col collapsed="false" customWidth="true" hidden="false" outlineLevel="0" max="1" min="1" style="1" width="19.25"/>
    <col collapsed="false" customWidth="true" hidden="false" outlineLevel="0" max="14" min="2" style="1" width="6.74"/>
    <col collapsed="false" customWidth="true" hidden="false" outlineLevel="0" max="50" min="15" style="0" width="6.74"/>
  </cols>
  <sheetData>
    <row r="1" customFormat="false" ht="90.7" hidden="false" customHeight="true" outlineLevel="0" collapsed="false">
      <c r="A1" s="59" t="s">
        <v>0</v>
      </c>
      <c r="B1" s="59" t="s">
        <v>59</v>
      </c>
      <c r="C1" s="59" t="s">
        <v>1</v>
      </c>
      <c r="D1" s="59" t="s">
        <v>433</v>
      </c>
      <c r="E1" s="59" t="s">
        <v>149</v>
      </c>
      <c r="F1" s="59" t="s">
        <v>9</v>
      </c>
      <c r="G1" s="59" t="s">
        <v>98</v>
      </c>
      <c r="H1" s="59" t="s">
        <v>129</v>
      </c>
      <c r="I1" s="59" t="s">
        <v>105</v>
      </c>
      <c r="J1" s="59" t="s">
        <v>51</v>
      </c>
      <c r="K1" s="59" t="s">
        <v>72</v>
      </c>
      <c r="L1" s="59" t="s">
        <v>75</v>
      </c>
      <c r="M1" s="59" t="s">
        <v>73</v>
      </c>
      <c r="N1" s="59" t="s">
        <v>76</v>
      </c>
    </row>
    <row r="2" customFormat="false" ht="13.8" hidden="false" customHeight="false" outlineLevel="0" collapsed="false">
      <c r="A2" s="60" t="s">
        <v>434</v>
      </c>
      <c r="B2" s="61" t="s">
        <v>435</v>
      </c>
      <c r="C2" s="62" t="n">
        <v>30</v>
      </c>
      <c r="D2" s="62" t="n">
        <v>0</v>
      </c>
      <c r="E2" s="62"/>
      <c r="F2" s="62"/>
      <c r="G2" s="62" t="n">
        <v>3</v>
      </c>
      <c r="H2" s="62"/>
      <c r="I2" s="62"/>
      <c r="J2" s="62"/>
      <c r="K2" s="62"/>
      <c r="L2" s="62"/>
      <c r="M2" s="62"/>
      <c r="N2" s="62"/>
    </row>
    <row r="3" customFormat="false" ht="13.8" hidden="false" customHeight="false" outlineLevel="0" collapsed="false">
      <c r="A3" s="39" t="s">
        <v>436</v>
      </c>
      <c r="B3" s="63" t="s">
        <v>437</v>
      </c>
      <c r="C3" s="62" t="n">
        <v>6</v>
      </c>
      <c r="D3" s="62" t="n">
        <v>6</v>
      </c>
      <c r="E3" s="35" t="n">
        <v>1</v>
      </c>
      <c r="F3" s="35" t="n">
        <v>6</v>
      </c>
      <c r="G3" s="35" t="n">
        <v>-1</v>
      </c>
      <c r="H3" s="35" t="n">
        <v>60</v>
      </c>
      <c r="I3" s="35" t="n">
        <v>1200</v>
      </c>
      <c r="J3" s="35" t="n">
        <v>2</v>
      </c>
      <c r="K3" s="35" t="n">
        <v>3</v>
      </c>
      <c r="L3" s="35" t="n">
        <v>6</v>
      </c>
      <c r="M3" s="35" t="n">
        <v>180</v>
      </c>
      <c r="N3" s="35" t="n">
        <v>360</v>
      </c>
    </row>
    <row r="4" customFormat="false" ht="13.8" hidden="false" customHeight="false" outlineLevel="0" collapsed="false">
      <c r="A4" s="60" t="s">
        <v>438</v>
      </c>
      <c r="B4" s="61" t="s">
        <v>437</v>
      </c>
      <c r="C4" s="62" t="n">
        <v>10</v>
      </c>
      <c r="D4" s="62" t="n">
        <v>10</v>
      </c>
      <c r="E4" s="35" t="n">
        <v>1</v>
      </c>
      <c r="F4" s="62"/>
      <c r="G4" s="62"/>
      <c r="H4" s="62" t="n">
        <v>3</v>
      </c>
      <c r="I4" s="62" t="n">
        <v>150</v>
      </c>
      <c r="J4" s="62" t="n">
        <v>12</v>
      </c>
      <c r="K4" s="62" t="n">
        <v>12</v>
      </c>
      <c r="L4" s="62" t="n">
        <v>5</v>
      </c>
      <c r="M4" s="62" t="n">
        <v>36</v>
      </c>
      <c r="N4" s="62" t="n">
        <v>15</v>
      </c>
    </row>
    <row r="5" customFormat="false" ht="13.8" hidden="false" customHeight="false" outlineLevel="0" collapsed="false">
      <c r="A5" s="39" t="s">
        <v>439</v>
      </c>
      <c r="B5" s="63" t="s">
        <v>437</v>
      </c>
      <c r="C5" s="62" t="n">
        <v>22</v>
      </c>
      <c r="D5" s="62" t="n">
        <v>22</v>
      </c>
      <c r="E5" s="35" t="n">
        <v>1</v>
      </c>
      <c r="F5" s="35"/>
      <c r="G5" s="35"/>
      <c r="H5" s="62" t="n">
        <v>4</v>
      </c>
      <c r="I5" s="35" t="n">
        <v>200</v>
      </c>
      <c r="J5" s="35" t="n">
        <v>16</v>
      </c>
      <c r="K5" s="35" t="n">
        <v>23</v>
      </c>
      <c r="L5" s="35" t="n">
        <v>6</v>
      </c>
      <c r="M5" s="35" t="n">
        <v>92</v>
      </c>
      <c r="N5" s="35" t="n">
        <v>24</v>
      </c>
    </row>
    <row r="6" customFormat="false" ht="13.8" hidden="false" customHeight="false" outlineLevel="0" collapsed="false">
      <c r="A6" s="60" t="s">
        <v>440</v>
      </c>
      <c r="B6" s="61" t="s">
        <v>437</v>
      </c>
      <c r="C6" s="62" t="n">
        <v>16</v>
      </c>
      <c r="D6" s="62" t="n">
        <v>16</v>
      </c>
      <c r="E6" s="35" t="n">
        <v>1</v>
      </c>
      <c r="F6" s="62"/>
      <c r="G6" s="62"/>
      <c r="H6" s="62" t="n">
        <v>7.5</v>
      </c>
      <c r="I6" s="62" t="n">
        <v>150</v>
      </c>
      <c r="J6" s="62" t="n">
        <v>5</v>
      </c>
      <c r="K6" s="62" t="n">
        <v>5</v>
      </c>
      <c r="L6" s="62" t="n">
        <v>3</v>
      </c>
      <c r="M6" s="62" t="n">
        <v>37.5</v>
      </c>
      <c r="N6" s="62" t="n">
        <v>22.5</v>
      </c>
    </row>
    <row r="7" customFormat="false" ht="13.8" hidden="false" customHeight="false" outlineLevel="0" collapsed="false">
      <c r="A7" s="39" t="s">
        <v>441</v>
      </c>
      <c r="B7" s="63" t="s">
        <v>437</v>
      </c>
      <c r="C7" s="62" t="n">
        <v>30</v>
      </c>
      <c r="D7" s="62" t="n">
        <v>30</v>
      </c>
      <c r="E7" s="35" t="n">
        <v>1</v>
      </c>
      <c r="F7" s="35"/>
      <c r="G7" s="35"/>
      <c r="H7" s="62" t="n">
        <v>10</v>
      </c>
      <c r="I7" s="35" t="n">
        <v>200</v>
      </c>
      <c r="J7" s="35" t="n">
        <v>8</v>
      </c>
      <c r="K7" s="35" t="n">
        <v>10</v>
      </c>
      <c r="L7" s="35" t="n">
        <v>5</v>
      </c>
      <c r="M7" s="35" t="n">
        <v>100</v>
      </c>
      <c r="N7" s="35" t="n">
        <v>50</v>
      </c>
    </row>
    <row r="8" customFormat="false" ht="13.8" hidden="false" customHeight="false" outlineLevel="0" collapsed="false">
      <c r="A8" s="60" t="s">
        <v>442</v>
      </c>
      <c r="B8" s="61" t="s">
        <v>437</v>
      </c>
      <c r="C8" s="62" t="n">
        <v>28</v>
      </c>
      <c r="D8" s="62" t="n">
        <v>28</v>
      </c>
      <c r="E8" s="35" t="n">
        <v>1</v>
      </c>
      <c r="F8" s="62"/>
      <c r="G8" s="62"/>
      <c r="H8" s="62" t="n">
        <v>12</v>
      </c>
      <c r="I8" s="62" t="n">
        <v>350</v>
      </c>
      <c r="J8" s="62" t="n">
        <v>10</v>
      </c>
      <c r="K8" s="62" t="n">
        <v>24</v>
      </c>
      <c r="L8" s="62" t="n">
        <v>10</v>
      </c>
      <c r="M8" s="62" t="n">
        <v>288</v>
      </c>
      <c r="N8" s="62" t="n">
        <v>120</v>
      </c>
    </row>
    <row r="9" customFormat="false" ht="13.8" hidden="false" customHeight="false" outlineLevel="0" collapsed="false">
      <c r="A9" s="39" t="s">
        <v>443</v>
      </c>
      <c r="B9" s="63" t="s">
        <v>437</v>
      </c>
      <c r="C9" s="62" t="n">
        <v>41</v>
      </c>
      <c r="D9" s="62" t="n">
        <v>41</v>
      </c>
      <c r="E9" s="35" t="n">
        <v>1</v>
      </c>
      <c r="F9" s="35"/>
      <c r="G9" s="35"/>
      <c r="H9" s="62" t="n">
        <v>30</v>
      </c>
      <c r="I9" s="35" t="n">
        <v>200</v>
      </c>
      <c r="J9" s="35" t="n">
        <v>5</v>
      </c>
      <c r="K9" s="35" t="n">
        <v>8</v>
      </c>
      <c r="L9" s="35" t="n">
        <v>2</v>
      </c>
      <c r="M9" s="35" t="n">
        <v>240</v>
      </c>
      <c r="N9" s="35" t="n">
        <v>60</v>
      </c>
    </row>
    <row r="10" customFormat="false" ht="13.8" hidden="false" customHeight="false" outlineLevel="0" collapsed="false">
      <c r="A10" s="60" t="s">
        <v>444</v>
      </c>
      <c r="B10" s="61" t="s">
        <v>437</v>
      </c>
      <c r="C10" s="62" t="n">
        <v>33</v>
      </c>
      <c r="D10" s="62" t="n">
        <v>33</v>
      </c>
      <c r="E10" s="35" t="n">
        <v>1</v>
      </c>
      <c r="F10" s="62"/>
      <c r="G10" s="62"/>
      <c r="H10" s="62" t="n">
        <v>6</v>
      </c>
      <c r="I10" s="62" t="n">
        <v>270</v>
      </c>
      <c r="J10" s="62" t="n">
        <v>42</v>
      </c>
      <c r="K10" s="62" t="n">
        <v>62</v>
      </c>
      <c r="L10" s="62" t="n">
        <v>18</v>
      </c>
      <c r="M10" s="62" t="n">
        <v>372</v>
      </c>
      <c r="N10" s="62" t="n">
        <v>108</v>
      </c>
    </row>
    <row r="11" customFormat="false" ht="13.8" hidden="false" customHeight="false" outlineLevel="0" collapsed="false">
      <c r="A11" s="39" t="s">
        <v>445</v>
      </c>
      <c r="B11" s="63" t="s">
        <v>437</v>
      </c>
      <c r="C11" s="62" t="n">
        <v>24</v>
      </c>
      <c r="D11" s="62" t="n">
        <v>24</v>
      </c>
      <c r="E11" s="35" t="n">
        <v>1</v>
      </c>
      <c r="F11" s="35"/>
      <c r="G11" s="35"/>
      <c r="H11" s="62" t="n">
        <v>3</v>
      </c>
      <c r="I11" s="35" t="n">
        <v>360</v>
      </c>
      <c r="J11" s="35" t="n">
        <v>40</v>
      </c>
      <c r="K11" s="35" t="n">
        <v>50</v>
      </c>
      <c r="L11" s="35" t="n">
        <v>12</v>
      </c>
      <c r="M11" s="35" t="n">
        <v>150</v>
      </c>
      <c r="N11" s="35" t="n">
        <v>36</v>
      </c>
    </row>
  </sheetData>
  <conditionalFormatting sqref="A1:N1">
    <cfRule type="expression" priority="2" aboveAverage="0" equalAverage="0" bottom="0" percent="0" rank="0" text="" dxfId="0">
      <formula>AND(OR(COUNTIF('master sheet'!$A$2:$A$111,A1)&gt;0,COUNTIF('master sheet'!$C$2:$C$111,A1)&gt;0),IF(COUNTIF('master sheet'!$A$2:$A$111,A1)&gt;0,INDEX('master sheet'!$B$2:$B$111,MATCH(A1,'master sheet'!$A$2:$A$111,0)),INDEX('master sheet'!$B$2:$B$111,MATCH(A1,'master sheet'!$C$2:$C$111,0)))&lt;&gt;"")</formula>
    </cfRule>
  </conditionalFormatting>
  <conditionalFormatting sqref="A1:N1">
    <cfRule type="expression" priority="3" aboveAverage="0" equalAverage="0" bottom="0" percent="0" rank="0" text="" dxfId="1">
      <formula>AND(COUNTIF('master sheet'!$A$2:$A$111,A1)=0,COUNTIF('master sheet'!$C$2:$C$111,A1)=0)</formula>
    </cfRule>
  </conditionalFormatting>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&amp;C&amp;"Arial,Regular"&amp;10&amp;Kffffff&amp;A</oddHeader>
    <oddFooter>&amp;C&amp;"Arial,Regular"&amp;10&amp;KffffffPage &amp;P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3.8" zeroHeight="false" outlineLevelRow="0" outlineLevelCol="0"/>
  <cols>
    <col collapsed="false" customWidth="true" hidden="false" outlineLevel="0" max="1" min="1" style="1" width="18.79"/>
    <col collapsed="false" customWidth="true" hidden="false" outlineLevel="0" max="2" min="2" style="1" width="15.68"/>
    <col collapsed="false" customWidth="true" hidden="false" outlineLevel="0" max="14" min="3" style="1" width="6.74"/>
    <col collapsed="false" customWidth="true" hidden="false" outlineLevel="0" max="87" min="15" style="0" width="6.74"/>
    <col collapsed="false" customWidth="true" hidden="false" outlineLevel="0" max="16384" min="16340" style="1" width="10.16"/>
  </cols>
  <sheetData>
    <row r="1" customFormat="false" ht="90.7" hidden="false" customHeight="true" outlineLevel="0" collapsed="false">
      <c r="A1" s="59" t="s">
        <v>0</v>
      </c>
      <c r="B1" s="59" t="s">
        <v>59</v>
      </c>
      <c r="C1" s="59" t="s">
        <v>1</v>
      </c>
      <c r="D1" s="59" t="s">
        <v>433</v>
      </c>
      <c r="E1" s="59" t="s">
        <v>80</v>
      </c>
      <c r="F1" s="59" t="s">
        <v>149</v>
      </c>
      <c r="G1" s="59" t="s">
        <v>446</v>
      </c>
      <c r="H1" s="59" t="s">
        <v>95</v>
      </c>
      <c r="I1" s="59" t="s">
        <v>150</v>
      </c>
      <c r="J1" s="59" t="s">
        <v>105</v>
      </c>
      <c r="K1" s="59" t="s">
        <v>73</v>
      </c>
      <c r="L1" s="59" t="s">
        <v>76</v>
      </c>
      <c r="M1" s="59" t="s">
        <v>117</v>
      </c>
      <c r="N1" s="59" t="s">
        <v>89</v>
      </c>
    </row>
    <row r="2" customFormat="false" ht="13.8" hidden="false" customHeight="false" outlineLevel="0" collapsed="false">
      <c r="A2" s="39" t="s">
        <v>447</v>
      </c>
      <c r="B2" s="63" t="s">
        <v>448</v>
      </c>
      <c r="C2" s="35" t="n">
        <v>-14</v>
      </c>
      <c r="D2" s="35" t="n">
        <v>-14</v>
      </c>
      <c r="E2" s="35" t="n">
        <v>-1</v>
      </c>
      <c r="F2" s="35"/>
      <c r="G2" s="35" t="n">
        <v>6</v>
      </c>
      <c r="H2" s="35" t="n">
        <v>2.5</v>
      </c>
      <c r="I2" s="35"/>
      <c r="J2" s="35" t="n">
        <v>630</v>
      </c>
      <c r="K2" s="35" t="n">
        <v>186</v>
      </c>
      <c r="L2" s="35" t="n">
        <v>48</v>
      </c>
      <c r="M2" s="35" t="n">
        <v>258</v>
      </c>
      <c r="N2" s="35" t="n">
        <v>72</v>
      </c>
    </row>
    <row r="3" customFormat="false" ht="13.8" hidden="false" customHeight="false" outlineLevel="0" collapsed="false">
      <c r="A3" s="60" t="s">
        <v>449</v>
      </c>
      <c r="B3" s="61" t="s">
        <v>437</v>
      </c>
      <c r="C3" s="62" t="n">
        <v>-32</v>
      </c>
      <c r="D3" s="62" t="n">
        <v>-32</v>
      </c>
      <c r="E3" s="62"/>
      <c r="F3" s="62" t="n">
        <v>-1</v>
      </c>
      <c r="G3" s="62" t="n">
        <v>6</v>
      </c>
      <c r="H3" s="62" t="n">
        <v>1</v>
      </c>
      <c r="I3" s="62" t="n">
        <v>192</v>
      </c>
      <c r="J3" s="62" t="n">
        <v>630</v>
      </c>
      <c r="K3" s="62" t="n">
        <v>372</v>
      </c>
      <c r="L3" s="62" t="n">
        <v>96</v>
      </c>
      <c r="M3" s="62" t="n">
        <v>516</v>
      </c>
      <c r="N3" s="62" t="n">
        <v>144</v>
      </c>
    </row>
    <row r="5" customFormat="false" ht="13.8" hidden="false" customHeight="false" outlineLevel="0" collapsed="false">
      <c r="B5" s="63"/>
    </row>
  </sheetData>
  <autoFilter ref="A1:N3"/>
  <conditionalFormatting sqref="A1:N1">
    <cfRule type="expression" priority="2" aboveAverage="0" equalAverage="0" bottom="0" percent="0" rank="0" text="" dxfId="0">
      <formula>AND(OR(COUNTIF('master sheet'!$A$2:$A$111,A1)&gt;0,COUNTIF('master sheet'!$C$2:$C$111,A1)&gt;0),IF(COUNTIF('master sheet'!$A$2:$A$111,A1)&gt;0,INDEX('master sheet'!$B$2:$B$111,MATCH(A1,'master sheet'!$A$2:$A$111,0)),INDEX('master sheet'!$B$2:$B$111,MATCH(A1,'master sheet'!$C$2:$C$111,0)))&lt;&gt;"")</formula>
    </cfRule>
  </conditionalFormatting>
  <conditionalFormatting sqref="A1:N1">
    <cfRule type="expression" priority="3" aboveAverage="0" equalAverage="0" bottom="0" percent="0" rank="0" text="" dxfId="1">
      <formula>AND(COUNTIF('master sheet'!$A$2:$A$111,A1)=0,COUNTIF('master sheet'!$C$2:$C$111,A1)=0)</formula>
    </cfRule>
  </conditionalFormatting>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&amp;C&amp;"Arial,Regular"&amp;10&amp;Kffffff&amp;A</oddHeader>
    <oddFooter>&amp;C&amp;"Arial,Regular"&amp;10&amp;KffffffPage &amp;P</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T1" activeCellId="0" sqref="T1"/>
    </sheetView>
  </sheetViews>
  <sheetFormatPr defaultColWidth="8.59765625" defaultRowHeight="13.8" zeroHeight="false" outlineLevelRow="0" outlineLevelCol="0"/>
  <cols>
    <col collapsed="false" customWidth="true" hidden="false" outlineLevel="0" max="1" min="1" style="1" width="18.79"/>
    <col collapsed="false" customWidth="true" hidden="false" outlineLevel="0" max="2" min="2" style="1" width="15.68"/>
    <col collapsed="false" customWidth="true" hidden="false" outlineLevel="0" max="20" min="3" style="1" width="6.74"/>
    <col collapsed="false" customWidth="true" hidden="false" outlineLevel="0" max="118" min="21" style="0" width="6.74"/>
    <col collapsed="false" customWidth="true" hidden="false" outlineLevel="0" max="16384" min="16346" style="1" width="10.16"/>
  </cols>
  <sheetData>
    <row r="1" customFormat="false" ht="90.7" hidden="false" customHeight="true" outlineLevel="0" collapsed="false">
      <c r="A1" s="59" t="s">
        <v>0</v>
      </c>
      <c r="B1" s="59" t="s">
        <v>59</v>
      </c>
      <c r="C1" s="59" t="s">
        <v>1</v>
      </c>
      <c r="D1" s="59" t="s">
        <v>433</v>
      </c>
      <c r="E1" s="59" t="s">
        <v>80</v>
      </c>
      <c r="F1" s="59" t="s">
        <v>149</v>
      </c>
      <c r="G1" s="59" t="s">
        <v>105</v>
      </c>
      <c r="H1" s="59" t="s">
        <v>73</v>
      </c>
      <c r="I1" s="59" t="s">
        <v>76</v>
      </c>
      <c r="J1" s="59" t="s">
        <v>117</v>
      </c>
      <c r="K1" s="59" t="s">
        <v>89</v>
      </c>
      <c r="L1" s="59" t="s">
        <v>87</v>
      </c>
      <c r="M1" s="59" t="s">
        <v>88</v>
      </c>
      <c r="N1" s="33" t="s">
        <v>114</v>
      </c>
      <c r="O1" s="59" t="s">
        <v>21</v>
      </c>
      <c r="P1" s="59" t="s">
        <v>128</v>
      </c>
      <c r="Q1" s="59" t="s">
        <v>96</v>
      </c>
      <c r="R1" s="33" t="s">
        <v>95</v>
      </c>
      <c r="S1" s="59" t="s">
        <v>150</v>
      </c>
      <c r="T1" s="59" t="s">
        <v>74</v>
      </c>
    </row>
    <row r="2" customFormat="false" ht="13.8" hidden="false" customHeight="false" outlineLevel="0" collapsed="false">
      <c r="A2" s="39" t="s">
        <v>450</v>
      </c>
      <c r="B2" s="63" t="s">
        <v>437</v>
      </c>
      <c r="C2" s="35" t="n">
        <v>-52</v>
      </c>
      <c r="D2" s="35" t="n">
        <v>-52</v>
      </c>
      <c r="E2" s="35"/>
      <c r="F2" s="35" t="n">
        <v>-1</v>
      </c>
      <c r="G2" s="35" t="n">
        <v>1000</v>
      </c>
      <c r="H2" s="35" t="n">
        <v>180</v>
      </c>
      <c r="I2" s="35" t="n">
        <v>450</v>
      </c>
      <c r="J2" s="35" t="n">
        <v>324</v>
      </c>
      <c r="K2" s="35" t="n">
        <v>96</v>
      </c>
      <c r="L2" s="35" t="n">
        <v>-720</v>
      </c>
      <c r="M2" s="35" t="s">
        <v>451</v>
      </c>
      <c r="N2" s="35"/>
      <c r="O2" s="35"/>
      <c r="P2" s="35" t="n">
        <v>3</v>
      </c>
      <c r="Q2" s="35"/>
      <c r="R2" s="35" t="n">
        <v>1</v>
      </c>
      <c r="S2" s="35" t="n">
        <v>96</v>
      </c>
      <c r="T2" s="35"/>
    </row>
    <row r="3" customFormat="false" ht="13.8" hidden="false" customHeight="false" outlineLevel="0" collapsed="false">
      <c r="A3" s="39" t="s">
        <v>452</v>
      </c>
      <c r="B3" s="63" t="s">
        <v>448</v>
      </c>
      <c r="C3" s="35" t="n">
        <v>-20</v>
      </c>
      <c r="D3" s="35" t="n">
        <v>-20</v>
      </c>
      <c r="E3" s="35" t="n">
        <v>-1</v>
      </c>
      <c r="F3" s="35"/>
      <c r="G3" s="35" t="n">
        <v>590</v>
      </c>
      <c r="H3" s="35" t="n">
        <v>105</v>
      </c>
      <c r="I3" s="35" t="n">
        <v>186</v>
      </c>
      <c r="J3" s="35" t="n">
        <v>84</v>
      </c>
      <c r="K3" s="35" t="n">
        <v>27</v>
      </c>
      <c r="L3" s="35" t="n">
        <v>2250</v>
      </c>
      <c r="M3" s="35"/>
      <c r="N3" s="35"/>
      <c r="O3" s="35"/>
      <c r="P3" s="35" t="n">
        <v>60</v>
      </c>
      <c r="Q3" s="35" t="s">
        <v>453</v>
      </c>
      <c r="R3" s="35" t="n">
        <v>0.4</v>
      </c>
      <c r="S3" s="35" t="n">
        <v>0</v>
      </c>
      <c r="T3" s="35"/>
    </row>
    <row r="4" customFormat="false" ht="13.8" hidden="false" customHeight="false" outlineLevel="0" collapsed="false">
      <c r="A4" s="60" t="s">
        <v>454</v>
      </c>
      <c r="B4" s="61" t="s">
        <v>437</v>
      </c>
      <c r="C4" s="62" t="n">
        <v>-41</v>
      </c>
      <c r="D4" s="62" t="n">
        <v>-41</v>
      </c>
      <c r="E4" s="62"/>
      <c r="F4" s="62" t="n">
        <v>-1</v>
      </c>
      <c r="G4" s="62" t="n">
        <v>590</v>
      </c>
      <c r="H4" s="62" t="n">
        <v>198</v>
      </c>
      <c r="I4" s="62" t="n">
        <v>294</v>
      </c>
      <c r="J4" s="62" t="n">
        <v>168</v>
      </c>
      <c r="K4" s="62" t="n">
        <v>54</v>
      </c>
      <c r="L4" s="62" t="n">
        <v>3600</v>
      </c>
      <c r="M4" s="62"/>
      <c r="N4" s="35"/>
      <c r="O4" s="62"/>
      <c r="P4" s="35" t="n">
        <v>60</v>
      </c>
      <c r="Q4" s="35" t="s">
        <v>453</v>
      </c>
      <c r="R4" s="62" t="n">
        <v>0.4</v>
      </c>
      <c r="S4" s="35" t="n">
        <v>192</v>
      </c>
      <c r="T4" s="62"/>
    </row>
    <row r="5" customFormat="false" ht="13.8" hidden="false" customHeight="false" outlineLevel="0" collapsed="false">
      <c r="A5" s="39" t="s">
        <v>455</v>
      </c>
      <c r="B5" s="63" t="s">
        <v>456</v>
      </c>
      <c r="C5" s="35" t="n">
        <v>-46</v>
      </c>
      <c r="D5" s="35" t="n">
        <v>-46</v>
      </c>
      <c r="E5" s="35"/>
      <c r="F5" s="35" t="n">
        <v>-1</v>
      </c>
      <c r="G5" s="35" t="n">
        <v>2175.62</v>
      </c>
      <c r="H5" s="35" t="n">
        <v>46.5</v>
      </c>
      <c r="I5" s="35" t="n">
        <v>285</v>
      </c>
      <c r="J5" s="35"/>
      <c r="K5" s="35"/>
      <c r="L5" s="35" t="n">
        <v>9904.5</v>
      </c>
      <c r="M5" s="35"/>
      <c r="N5" s="35" t="s">
        <v>457</v>
      </c>
      <c r="O5" s="35" t="n">
        <v>200</v>
      </c>
      <c r="P5" s="35" t="n">
        <v>1.5</v>
      </c>
      <c r="Q5" s="35"/>
      <c r="R5" s="35" t="n">
        <v>0.5</v>
      </c>
      <c r="S5" s="35" t="n">
        <v>132</v>
      </c>
      <c r="T5" s="35" t="n">
        <v>18.75</v>
      </c>
    </row>
  </sheetData>
  <autoFilter ref="A1:T5"/>
  <conditionalFormatting sqref="A1:T1">
    <cfRule type="expression" priority="2" aboveAverage="0" equalAverage="0" bottom="0" percent="0" rank="0" text="" dxfId="0">
      <formula>AND(OR(COUNTIF('master sheet'!$A$2:$A$111,A1)&gt;0,COUNTIF('master sheet'!$C$2:$C$111,A1)&gt;0),IF(COUNTIF('master sheet'!$A$2:$A$111,A1)&gt;0,INDEX('master sheet'!$B$2:$B$111,MATCH(A1,'master sheet'!$A$2:$A$111,0)),INDEX('master sheet'!$B$2:$B$111,MATCH(A1,'master sheet'!$C$2:$C$111,0)))&lt;&gt;"")</formula>
    </cfRule>
  </conditionalFormatting>
  <conditionalFormatting sqref="A1:T1">
    <cfRule type="expression" priority="3" aboveAverage="0" equalAverage="0" bottom="0" percent="0" rank="0" text="" dxfId="1">
      <formula>AND(COUNTIF('master sheet'!$A$2:$A$111,A1)=0,COUNTIF('master sheet'!$C$2:$C$111,A1)=0)</formula>
    </cfRule>
  </conditionalFormatting>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&amp;C&amp;"Arial,Regular"&amp;10&amp;Kffffff&amp;A</oddHeader>
    <oddFooter>&amp;C&amp;"Arial,Regular"&amp;10&amp;KffffffPage &amp;P</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3.8" zeroHeight="false" outlineLevelRow="0" outlineLevelCol="0"/>
  <cols>
    <col collapsed="false" customWidth="true" hidden="false" outlineLevel="0" max="1" min="1" style="1" width="18.79"/>
    <col collapsed="false" customWidth="true" hidden="false" outlineLevel="0" max="2" min="2" style="1" width="6.9"/>
    <col collapsed="false" customWidth="true" hidden="false" outlineLevel="0" max="18" min="3" style="1" width="6.74"/>
    <col collapsed="false" customWidth="true" hidden="false" outlineLevel="0" max="86" min="19" style="0" width="6.74"/>
    <col collapsed="false" customWidth="true" hidden="false" outlineLevel="0" max="16384" min="16344" style="1" width="10.16"/>
  </cols>
  <sheetData>
    <row r="1" customFormat="false" ht="90.7" hidden="false" customHeight="true" outlineLevel="0" collapsed="false">
      <c r="A1" s="59" t="s">
        <v>0</v>
      </c>
      <c r="B1" s="59" t="s">
        <v>59</v>
      </c>
      <c r="C1" s="59" t="s">
        <v>1</v>
      </c>
      <c r="D1" s="59" t="s">
        <v>433</v>
      </c>
      <c r="E1" s="59" t="s">
        <v>80</v>
      </c>
      <c r="F1" s="59" t="s">
        <v>149</v>
      </c>
      <c r="G1" s="59" t="s">
        <v>105</v>
      </c>
      <c r="H1" s="59" t="s">
        <v>130</v>
      </c>
      <c r="I1" s="59" t="s">
        <v>73</v>
      </c>
      <c r="J1" s="59" t="s">
        <v>76</v>
      </c>
      <c r="K1" s="59" t="s">
        <v>117</v>
      </c>
      <c r="L1" s="59" t="s">
        <v>89</v>
      </c>
      <c r="M1" s="59" t="s">
        <v>87</v>
      </c>
      <c r="N1" s="59" t="s">
        <v>150</v>
      </c>
      <c r="O1" s="59" t="s">
        <v>95</v>
      </c>
      <c r="P1" s="59" t="s">
        <v>384</v>
      </c>
      <c r="Q1" s="59" t="s">
        <v>446</v>
      </c>
      <c r="R1" s="59" t="s">
        <v>53</v>
      </c>
    </row>
    <row r="2" customFormat="false" ht="13.8" hidden="false" customHeight="false" outlineLevel="0" collapsed="false">
      <c r="A2" s="60" t="s">
        <v>458</v>
      </c>
      <c r="B2" s="61" t="s">
        <v>448</v>
      </c>
      <c r="C2" s="62" t="n">
        <v>-16</v>
      </c>
      <c r="D2" s="62" t="n">
        <v>-16</v>
      </c>
      <c r="E2" s="62" t="n">
        <v>-1</v>
      </c>
      <c r="F2" s="62"/>
      <c r="G2" s="62" t="n">
        <v>870</v>
      </c>
      <c r="H2" s="62" t="n">
        <v>230.7692</v>
      </c>
      <c r="I2" s="62" t="n">
        <v>120</v>
      </c>
      <c r="J2" s="62" t="n">
        <v>210</v>
      </c>
      <c r="K2" s="62" t="n">
        <v>120</v>
      </c>
      <c r="L2" s="62" t="n">
        <v>90</v>
      </c>
      <c r="M2" s="62" t="n">
        <v>270</v>
      </c>
      <c r="N2" s="62"/>
      <c r="O2" s="62" t="n">
        <v>0.5</v>
      </c>
      <c r="P2" s="62"/>
      <c r="Q2" s="62" t="n">
        <v>4.61538461538462</v>
      </c>
      <c r="R2" s="62"/>
    </row>
    <row r="3" customFormat="false" ht="13.8" hidden="false" customHeight="false" outlineLevel="0" collapsed="false">
      <c r="A3" s="39" t="s">
        <v>459</v>
      </c>
      <c r="B3" s="63" t="s">
        <v>437</v>
      </c>
      <c r="C3" s="35" t="n">
        <v>-28</v>
      </c>
      <c r="D3" s="35" t="n">
        <v>-22</v>
      </c>
      <c r="E3" s="35"/>
      <c r="F3" s="35" t="n">
        <v>-1</v>
      </c>
      <c r="G3" s="35" t="n">
        <v>870</v>
      </c>
      <c r="H3" s="35" t="n">
        <v>461.5385</v>
      </c>
      <c r="I3" s="35" t="n">
        <v>240</v>
      </c>
      <c r="J3" s="35" t="n">
        <v>420</v>
      </c>
      <c r="K3" s="35" t="n">
        <v>240</v>
      </c>
      <c r="L3" s="35" t="n">
        <v>180</v>
      </c>
      <c r="M3" s="35" t="n">
        <v>540</v>
      </c>
      <c r="N3" s="35" t="n">
        <v>216</v>
      </c>
      <c r="O3" s="35" t="n">
        <v>0.5</v>
      </c>
      <c r="P3" s="35"/>
      <c r="Q3" s="62" t="n">
        <v>9.23076923076923</v>
      </c>
      <c r="R3" s="35"/>
    </row>
    <row r="4" customFormat="false" ht="13.8" hidden="false" customHeight="false" outlineLevel="0" collapsed="false">
      <c r="A4" s="39" t="s">
        <v>460</v>
      </c>
      <c r="B4" s="63" t="s">
        <v>448</v>
      </c>
      <c r="C4" s="35" t="n">
        <v>-76</v>
      </c>
      <c r="D4" s="35" t="n">
        <v>-76</v>
      </c>
      <c r="E4" s="35" t="n">
        <v>-1</v>
      </c>
      <c r="F4" s="35"/>
      <c r="G4" s="35" t="n">
        <v>1960</v>
      </c>
      <c r="H4" s="35" t="n">
        <v>4000</v>
      </c>
      <c r="I4" s="35" t="n">
        <v>756</v>
      </c>
      <c r="J4" s="35" t="n">
        <v>400</v>
      </c>
      <c r="K4" s="35" t="n">
        <v>320</v>
      </c>
      <c r="L4" s="35" t="n">
        <v>240</v>
      </c>
      <c r="M4" s="35" t="n">
        <v>120</v>
      </c>
      <c r="N4" s="35"/>
      <c r="O4" s="35" t="n">
        <v>0.5</v>
      </c>
      <c r="P4" s="35" t="n">
        <v>1600</v>
      </c>
      <c r="Q4" s="62" t="n">
        <v>1</v>
      </c>
      <c r="R4" s="35" t="n">
        <v>20</v>
      </c>
    </row>
  </sheetData>
  <autoFilter ref="A1:R4"/>
  <conditionalFormatting sqref="A1:R1">
    <cfRule type="expression" priority="2" aboveAverage="0" equalAverage="0" bottom="0" percent="0" rank="0" text="" dxfId="0">
      <formula>AND(OR(COUNTIF('master sheet'!$A$2:$A$111,A1)&gt;0,COUNTIF('master sheet'!$C$2:$C$111,A1)&gt;0),IF(COUNTIF('master sheet'!$A$2:$A$111,A1)&gt;0,INDEX('master sheet'!$B$2:$B$111,MATCH(A1,'master sheet'!$A$2:$A$111,0)),INDEX('master sheet'!$B$2:$B$111,MATCH(A1,'master sheet'!$C$2:$C$111,0)))&lt;&gt;"")</formula>
    </cfRule>
  </conditionalFormatting>
  <conditionalFormatting sqref="A1">
    <cfRule type="expression" priority="3" aboveAverage="0" equalAverage="0" bottom="0" percent="0" rank="0" text="" dxfId="1">
      <formula>AND(COUNTIF('master sheet'!$A$2:$A$111,A1)=0,COUNTIF('master sheet'!$C$2:$C$111,A1)=0)</formula>
    </cfRule>
  </conditionalFormatting>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&amp;C&amp;"Arial,Regular"&amp;10&amp;Kffffff&amp;A</oddHeader>
    <oddFooter>&amp;C&amp;"Arial,Regular"&amp;10&amp;KffffffPage &amp;P</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3.8" zeroHeight="false" outlineLevelRow="0" outlineLevelCol="0"/>
  <cols>
    <col collapsed="false" customWidth="true" hidden="false" outlineLevel="0" max="1" min="1" style="1" width="18.79"/>
    <col collapsed="false" customWidth="true" hidden="false" outlineLevel="0" max="2" min="2" style="1" width="15.68"/>
    <col collapsed="false" customWidth="true" hidden="false" outlineLevel="0" max="15" min="3" style="1" width="6.74"/>
    <col collapsed="false" customWidth="true" hidden="false" outlineLevel="0" max="62" min="16" style="0" width="6.74"/>
    <col collapsed="false" customWidth="true" hidden="false" outlineLevel="0" max="16384" min="16341" style="1" width="10.16"/>
  </cols>
  <sheetData>
    <row r="1" customFormat="false" ht="90.7" hidden="false" customHeight="true" outlineLevel="0" collapsed="false">
      <c r="A1" s="59" t="s">
        <v>0</v>
      </c>
      <c r="B1" s="59" t="s">
        <v>59</v>
      </c>
      <c r="C1" s="59" t="s">
        <v>1</v>
      </c>
      <c r="D1" s="59" t="s">
        <v>433</v>
      </c>
      <c r="E1" s="59" t="s">
        <v>149</v>
      </c>
      <c r="F1" s="59" t="s">
        <v>63</v>
      </c>
      <c r="G1" s="59" t="s">
        <v>73</v>
      </c>
      <c r="H1" s="59" t="s">
        <v>76</v>
      </c>
      <c r="I1" s="59" t="s">
        <v>117</v>
      </c>
      <c r="J1" s="59" t="s">
        <v>89</v>
      </c>
      <c r="K1" s="59" t="s">
        <v>446</v>
      </c>
      <c r="L1" s="59" t="s">
        <v>96</v>
      </c>
      <c r="M1" s="59" t="s">
        <v>105</v>
      </c>
      <c r="N1" s="59" t="s">
        <v>95</v>
      </c>
      <c r="O1" s="59" t="s">
        <v>150</v>
      </c>
    </row>
    <row r="2" customFormat="false" ht="13.8" hidden="false" customHeight="false" outlineLevel="0" collapsed="false">
      <c r="A2" s="60" t="s">
        <v>461</v>
      </c>
      <c r="B2" s="61" t="s">
        <v>437</v>
      </c>
      <c r="C2" s="62" t="n">
        <v>-35</v>
      </c>
      <c r="D2" s="62" t="n">
        <v>-35</v>
      </c>
      <c r="E2" s="62" t="n">
        <v>-1</v>
      </c>
      <c r="F2" s="62" t="n">
        <v>1440</v>
      </c>
      <c r="G2" s="62" t="n">
        <v>480</v>
      </c>
      <c r="H2" s="62" t="n">
        <v>162</v>
      </c>
      <c r="I2" s="62" t="n">
        <v>228</v>
      </c>
      <c r="J2" s="62" t="n">
        <v>30</v>
      </c>
      <c r="K2" s="62" t="n">
        <v>60</v>
      </c>
      <c r="L2" s="62" t="s">
        <v>453</v>
      </c>
      <c r="M2" s="62" t="n">
        <v>480</v>
      </c>
      <c r="N2" s="62" t="n">
        <v>1</v>
      </c>
      <c r="O2" s="62" t="n">
        <v>96</v>
      </c>
    </row>
  </sheetData>
  <autoFilter ref="A1:O2"/>
  <conditionalFormatting sqref="A1:O1">
    <cfRule type="expression" priority="2" aboveAverage="0" equalAverage="0" bottom="0" percent="0" rank="0" text="" dxfId="0">
      <formula>AND(OR(COUNTIF('master sheet'!$A$2:$A$111,A1)&gt;0,COUNTIF('master sheet'!$C$2:$C$111,A1)&gt;0),IF(COUNTIF('master sheet'!$A$2:$A$111,A1)&gt;0,INDEX('master sheet'!$B$2:$B$111,MATCH(A1,'master sheet'!$A$2:$A$111,0)),INDEX('master sheet'!$B$2:$B$111,MATCH(A1,'master sheet'!$C$2:$C$111,0)))&lt;&gt;"")</formula>
    </cfRule>
  </conditionalFormatting>
  <conditionalFormatting sqref="A1:O1">
    <cfRule type="expression" priority="3" aboveAverage="0" equalAverage="0" bottom="0" percent="0" rank="0" text="" dxfId="1">
      <formula>AND(COUNTIF('master sheet'!$A$2:$A$111,A1)=0,COUNTIF('master sheet'!$C$2:$C$111,A1)=0)</formula>
    </cfRule>
  </conditionalFormatting>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&amp;C&amp;"Arial,Regular"&amp;10&amp;Kffffff&amp;A</oddHeader>
    <oddFooter>&amp;C&amp;"Arial,Regular"&amp;10&amp;KffffffPage &amp;P</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1" activeCellId="0" sqref="I1"/>
    </sheetView>
  </sheetViews>
  <sheetFormatPr defaultColWidth="8.59765625" defaultRowHeight="13.8" zeroHeight="false" outlineLevelRow="0" outlineLevelCol="0"/>
  <cols>
    <col collapsed="false" customWidth="true" hidden="false" outlineLevel="0" max="1" min="1" style="1" width="18.79"/>
    <col collapsed="false" customWidth="true" hidden="false" outlineLevel="0" max="2" min="2" style="1" width="15.68"/>
    <col collapsed="false" customWidth="true" hidden="false" outlineLevel="0" max="11" min="3" style="1" width="6.74"/>
    <col collapsed="false" customWidth="true" hidden="false" outlineLevel="0" max="42" min="12" style="0" width="6.74"/>
    <col collapsed="false" customWidth="true" hidden="false" outlineLevel="0" max="16384" min="16337" style="1" width="10.16"/>
  </cols>
  <sheetData>
    <row r="1" customFormat="false" ht="90.7" hidden="false" customHeight="true" outlineLevel="0" collapsed="false">
      <c r="A1" s="59" t="s">
        <v>0</v>
      </c>
      <c r="B1" s="59" t="s">
        <v>59</v>
      </c>
      <c r="C1" s="59" t="s">
        <v>1</v>
      </c>
      <c r="D1" s="59" t="s">
        <v>433</v>
      </c>
      <c r="E1" s="59" t="s">
        <v>149</v>
      </c>
      <c r="F1" s="59" t="s">
        <v>446</v>
      </c>
      <c r="G1" s="59" t="s">
        <v>96</v>
      </c>
      <c r="H1" s="33" t="s">
        <v>142</v>
      </c>
      <c r="I1" s="59" t="s">
        <v>105</v>
      </c>
      <c r="J1" s="59" t="s">
        <v>73</v>
      </c>
      <c r="K1" s="59" t="s">
        <v>76</v>
      </c>
    </row>
    <row r="2" customFormat="false" ht="13.8" hidden="false" customHeight="false" outlineLevel="0" collapsed="false">
      <c r="A2" s="60" t="s">
        <v>462</v>
      </c>
      <c r="B2" s="61" t="s">
        <v>437</v>
      </c>
      <c r="C2" s="62" t="n">
        <v>-22</v>
      </c>
      <c r="D2" s="62" t="n">
        <v>-22</v>
      </c>
      <c r="E2" s="62" t="n">
        <v>-1</v>
      </c>
      <c r="F2" s="62" t="n">
        <v>60</v>
      </c>
      <c r="G2" s="35" t="s">
        <v>451</v>
      </c>
      <c r="H2" s="62" t="n">
        <v>420</v>
      </c>
      <c r="I2" s="62" t="n">
        <v>300</v>
      </c>
      <c r="J2" s="62" t="n">
        <v>126</v>
      </c>
      <c r="K2" s="62" t="n">
        <v>48</v>
      </c>
    </row>
    <row r="3" customFormat="false" ht="13.8" hidden="false" customHeight="false" outlineLevel="0" collapsed="false">
      <c r="A3" s="39" t="s">
        <v>463</v>
      </c>
      <c r="B3" s="63" t="s">
        <v>437</v>
      </c>
      <c r="C3" s="35" t="n">
        <v>-25</v>
      </c>
      <c r="D3" s="35" t="n">
        <v>-25</v>
      </c>
      <c r="E3" s="35" t="n">
        <v>-1</v>
      </c>
      <c r="F3" s="35" t="n">
        <v>60</v>
      </c>
      <c r="G3" s="35" t="s">
        <v>451</v>
      </c>
      <c r="H3" s="35" t="n">
        <v>540</v>
      </c>
      <c r="I3" s="35" t="n">
        <v>400</v>
      </c>
      <c r="J3" s="35" t="n">
        <v>192</v>
      </c>
      <c r="K3" s="35" t="n">
        <v>66</v>
      </c>
    </row>
  </sheetData>
  <autoFilter ref="A1:K3"/>
  <conditionalFormatting sqref="A1:K1">
    <cfRule type="expression" priority="2" aboveAverage="0" equalAverage="0" bottom="0" percent="0" rank="0" text="" dxfId="0">
      <formula>AND(OR(COUNTIF('master sheet'!$A$2:$A$111,A1)&gt;0,COUNTIF('master sheet'!$C$2:$C$111,A1)&gt;0),IF(COUNTIF('master sheet'!$A$2:$A$111,A1)&gt;0,INDEX('master sheet'!$B$2:$B$111,MATCH(A1,'master sheet'!$A$2:$A$111,0)),INDEX('master sheet'!$B$2:$B$111,MATCH(A1,'master sheet'!$C$2:$C$111,0)))&lt;&gt;"")</formula>
    </cfRule>
  </conditionalFormatting>
  <conditionalFormatting sqref="A1:K1">
    <cfRule type="expression" priority="3" aboveAverage="0" equalAverage="0" bottom="0" percent="0" rank="0" text="" dxfId="1">
      <formula>AND(COUNTIF('master sheet'!$A$2:$A$111,A1)=0,COUNTIF('master sheet'!$C$2:$C$111,A1)=0)</formula>
    </cfRule>
  </conditionalFormatting>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&amp;C&amp;"Arial,Regular"&amp;10&amp;Kffffff&amp;A</oddHeader>
    <oddFooter>&amp;C&amp;"Arial,Regular"&amp;10&amp;KffffffPage &amp;P</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1" activeCellId="0" sqref="J1"/>
    </sheetView>
  </sheetViews>
  <sheetFormatPr defaultColWidth="8.59765625" defaultRowHeight="13.8" zeroHeight="false" outlineLevelRow="0" outlineLevelCol="0"/>
  <cols>
    <col collapsed="false" customWidth="true" hidden="false" outlineLevel="0" max="1" min="1" style="1" width="18.79"/>
    <col collapsed="false" customWidth="true" hidden="false" outlineLevel="0" max="2" min="2" style="1" width="15.68"/>
    <col collapsed="false" customWidth="true" hidden="false" outlineLevel="0" max="19" min="3" style="1" width="6.74"/>
    <col collapsed="false" customWidth="true" hidden="false" outlineLevel="0" max="129" min="20" style="0" width="6.74"/>
    <col collapsed="false" customWidth="true" hidden="false" outlineLevel="0" max="16384" min="16345" style="1" width="10.16"/>
  </cols>
  <sheetData>
    <row r="1" customFormat="false" ht="90.7" hidden="false" customHeight="true" outlineLevel="0" collapsed="false">
      <c r="A1" s="59" t="s">
        <v>0</v>
      </c>
      <c r="B1" s="59" t="s">
        <v>59</v>
      </c>
      <c r="C1" s="59" t="s">
        <v>1</v>
      </c>
      <c r="D1" s="59" t="s">
        <v>433</v>
      </c>
      <c r="E1" s="59" t="s">
        <v>80</v>
      </c>
      <c r="F1" s="59" t="s">
        <v>149</v>
      </c>
      <c r="G1" s="59" t="s">
        <v>105</v>
      </c>
      <c r="H1" s="59" t="s">
        <v>73</v>
      </c>
      <c r="I1" s="59" t="s">
        <v>76</v>
      </c>
      <c r="J1" s="59" t="s">
        <v>74</v>
      </c>
      <c r="K1" s="59" t="s">
        <v>117</v>
      </c>
      <c r="L1" s="59" t="s">
        <v>89</v>
      </c>
      <c r="M1" s="59" t="s">
        <v>84</v>
      </c>
      <c r="N1" s="59" t="s">
        <v>54</v>
      </c>
      <c r="O1" s="59" t="s">
        <v>446</v>
      </c>
      <c r="P1" s="59" t="s">
        <v>96</v>
      </c>
      <c r="Q1" s="59" t="s">
        <v>384</v>
      </c>
      <c r="R1" s="59" t="s">
        <v>95</v>
      </c>
      <c r="S1" s="59" t="s">
        <v>150</v>
      </c>
    </row>
    <row r="2" customFormat="false" ht="13.8" hidden="false" customHeight="false" outlineLevel="0" collapsed="false">
      <c r="A2" s="39" t="s">
        <v>464</v>
      </c>
      <c r="B2" s="63" t="s">
        <v>448</v>
      </c>
      <c r="C2" s="35" t="n">
        <v>-11</v>
      </c>
      <c r="D2" s="35" t="n">
        <v>-11</v>
      </c>
      <c r="E2" s="35" t="n">
        <v>-1</v>
      </c>
      <c r="F2" s="35"/>
      <c r="G2" s="35" t="n">
        <v>520</v>
      </c>
      <c r="H2" s="35" t="n">
        <v>144</v>
      </c>
      <c r="I2" s="35" t="n">
        <v>648</v>
      </c>
      <c r="J2" s="35"/>
      <c r="K2" s="35" t="n">
        <v>156</v>
      </c>
      <c r="L2" s="35" t="n">
        <v>132</v>
      </c>
      <c r="M2" s="35" t="n">
        <v>198</v>
      </c>
      <c r="N2" s="35"/>
      <c r="O2" s="35" t="n">
        <v>6</v>
      </c>
      <c r="P2" s="35"/>
      <c r="Q2" s="35" t="n">
        <v>100</v>
      </c>
      <c r="R2" s="35" t="n">
        <v>4</v>
      </c>
      <c r="S2" s="35"/>
    </row>
    <row r="3" customFormat="false" ht="13.8" hidden="false" customHeight="false" outlineLevel="0" collapsed="false">
      <c r="A3" s="60" t="s">
        <v>465</v>
      </c>
      <c r="B3" s="61" t="s">
        <v>448</v>
      </c>
      <c r="C3" s="62" t="n">
        <v>-22</v>
      </c>
      <c r="D3" s="62" t="n">
        <v>-22</v>
      </c>
      <c r="E3" s="62" t="n">
        <v>-1</v>
      </c>
      <c r="F3" s="62"/>
      <c r="G3" s="62" t="n">
        <v>390</v>
      </c>
      <c r="H3" s="62" t="n">
        <v>150</v>
      </c>
      <c r="I3" s="62" t="n">
        <v>102</v>
      </c>
      <c r="J3" s="62"/>
      <c r="K3" s="62" t="n">
        <v>210</v>
      </c>
      <c r="L3" s="62" t="n">
        <v>90</v>
      </c>
      <c r="M3" s="62" t="n">
        <v>480</v>
      </c>
      <c r="N3" s="62" t="n">
        <v>900</v>
      </c>
      <c r="O3" s="35" t="n">
        <v>60</v>
      </c>
      <c r="P3" s="35" t="s">
        <v>451</v>
      </c>
      <c r="Q3" s="62"/>
      <c r="R3" s="62" t="n">
        <v>0.4</v>
      </c>
      <c r="S3" s="62"/>
    </row>
    <row r="4" customFormat="false" ht="13.8" hidden="false" customHeight="false" outlineLevel="0" collapsed="false">
      <c r="A4" s="60" t="s">
        <v>466</v>
      </c>
      <c r="B4" s="61" t="s">
        <v>448</v>
      </c>
      <c r="C4" s="62" t="n">
        <v>-34</v>
      </c>
      <c r="D4" s="62" t="n">
        <v>-34</v>
      </c>
      <c r="E4" s="62" t="n">
        <v>-1</v>
      </c>
      <c r="F4" s="62"/>
      <c r="G4" s="62" t="n">
        <v>540</v>
      </c>
      <c r="H4" s="62" t="n">
        <v>312</v>
      </c>
      <c r="I4" s="62" t="n">
        <v>372</v>
      </c>
      <c r="J4" s="62"/>
      <c r="K4" s="62" t="n">
        <v>432</v>
      </c>
      <c r="L4" s="62" t="n">
        <v>180</v>
      </c>
      <c r="M4" s="62" t="n">
        <v>726</v>
      </c>
      <c r="N4" s="62"/>
      <c r="O4" s="35" t="n">
        <v>60</v>
      </c>
      <c r="P4" s="35" t="s">
        <v>451</v>
      </c>
      <c r="Q4" s="62"/>
      <c r="R4" s="62" t="n">
        <v>0.2</v>
      </c>
      <c r="S4" s="62"/>
    </row>
    <row r="5" customFormat="false" ht="13.8" hidden="false" customHeight="false" outlineLevel="0" collapsed="false">
      <c r="A5" s="39" t="s">
        <v>467</v>
      </c>
      <c r="B5" s="63" t="s">
        <v>448</v>
      </c>
      <c r="C5" s="35" t="n">
        <v>-25</v>
      </c>
      <c r="D5" s="35" t="n">
        <v>-25</v>
      </c>
      <c r="E5" s="35" t="n">
        <v>-1</v>
      </c>
      <c r="F5" s="35"/>
      <c r="G5" s="35" t="n">
        <v>480</v>
      </c>
      <c r="H5" s="35" t="n">
        <v>100</v>
      </c>
      <c r="I5" s="35" t="n">
        <v>600</v>
      </c>
      <c r="J5" s="35"/>
      <c r="K5" s="35" t="n">
        <v>210</v>
      </c>
      <c r="L5" s="35" t="n">
        <v>83.3333</v>
      </c>
      <c r="M5" s="35" t="n">
        <v>1133.3333</v>
      </c>
      <c r="N5" s="35"/>
      <c r="O5" s="35" t="n">
        <v>3.33333333333333</v>
      </c>
      <c r="P5" s="35"/>
      <c r="Q5" s="35"/>
      <c r="R5" s="35" t="n">
        <v>2</v>
      </c>
      <c r="S5" s="35"/>
    </row>
    <row r="6" customFormat="false" ht="13.8" hidden="false" customHeight="false" outlineLevel="0" collapsed="false">
      <c r="A6" s="39" t="s">
        <v>468</v>
      </c>
      <c r="B6" s="63" t="s">
        <v>448</v>
      </c>
      <c r="C6" s="35" t="n">
        <v>-32</v>
      </c>
      <c r="D6" s="35" t="n">
        <v>-32</v>
      </c>
      <c r="E6" s="35" t="n">
        <v>-1</v>
      </c>
      <c r="F6" s="35"/>
      <c r="G6" s="35" t="n">
        <v>456</v>
      </c>
      <c r="H6" s="35" t="n">
        <v>111.4286</v>
      </c>
      <c r="I6" s="35" t="n">
        <v>857.1429</v>
      </c>
      <c r="J6" s="35"/>
      <c r="K6" s="35" t="n">
        <v>282.8571</v>
      </c>
      <c r="L6" s="35" t="n">
        <v>111.4286</v>
      </c>
      <c r="M6" s="35" t="n">
        <v>1234.2857</v>
      </c>
      <c r="N6" s="35"/>
      <c r="O6" s="35" t="n">
        <v>8.57142857142857</v>
      </c>
      <c r="P6" s="35"/>
      <c r="Q6" s="35"/>
      <c r="R6" s="35" t="n">
        <v>5</v>
      </c>
      <c r="S6" s="35"/>
    </row>
    <row r="7" customFormat="false" ht="13.8" hidden="false" customHeight="false" outlineLevel="0" collapsed="false">
      <c r="A7" s="60" t="s">
        <v>469</v>
      </c>
      <c r="B7" s="61" t="s">
        <v>456</v>
      </c>
      <c r="C7" s="62" t="n">
        <v>-9</v>
      </c>
      <c r="D7" s="62" t="n">
        <v>-9</v>
      </c>
      <c r="E7" s="62" t="n">
        <v>-1</v>
      </c>
      <c r="F7" s="62"/>
      <c r="G7" s="62" t="n">
        <v>243</v>
      </c>
      <c r="H7" s="62" t="n">
        <v>6</v>
      </c>
      <c r="I7" s="62" t="n">
        <v>240</v>
      </c>
      <c r="J7" s="62" t="n">
        <f aca="false">0.4*60</f>
        <v>24</v>
      </c>
      <c r="K7" s="62" t="n">
        <v>48</v>
      </c>
      <c r="L7" s="62" t="n">
        <v>42</v>
      </c>
      <c r="M7" s="62" t="n">
        <v>7500</v>
      </c>
      <c r="N7" s="62"/>
      <c r="O7" s="35" t="n">
        <v>60</v>
      </c>
      <c r="P7" s="35" t="s">
        <v>451</v>
      </c>
      <c r="Q7" s="62"/>
      <c r="R7" s="62" t="n">
        <v>12</v>
      </c>
      <c r="S7" s="62"/>
    </row>
    <row r="8" customFormat="false" ht="13.8" hidden="false" customHeight="false" outlineLevel="0" collapsed="false">
      <c r="A8" s="60" t="s">
        <v>470</v>
      </c>
      <c r="B8" s="61" t="s">
        <v>437</v>
      </c>
      <c r="C8" s="62" t="n">
        <v>-29</v>
      </c>
      <c r="D8" s="62" t="n">
        <v>-29</v>
      </c>
      <c r="E8" s="62"/>
      <c r="F8" s="62" t="n">
        <v>-1</v>
      </c>
      <c r="G8" s="62" t="n">
        <v>520</v>
      </c>
      <c r="H8" s="62" t="n">
        <v>288</v>
      </c>
      <c r="I8" s="62" t="n">
        <v>1296</v>
      </c>
      <c r="J8" s="62"/>
      <c r="K8" s="62" t="n">
        <v>312</v>
      </c>
      <c r="L8" s="62" t="n">
        <v>264</v>
      </c>
      <c r="M8" s="62" t="n">
        <v>396</v>
      </c>
      <c r="N8" s="62"/>
      <c r="O8" s="35" t="n">
        <v>12</v>
      </c>
      <c r="P8" s="35"/>
      <c r="Q8" s="62" t="n">
        <v>200</v>
      </c>
      <c r="R8" s="62" t="n">
        <v>3</v>
      </c>
      <c r="S8" s="62" t="n">
        <v>2.6</v>
      </c>
    </row>
    <row r="9" customFormat="false" ht="13.8" hidden="false" customHeight="false" outlineLevel="0" collapsed="false">
      <c r="A9" s="39" t="s">
        <v>471</v>
      </c>
      <c r="B9" s="63" t="s">
        <v>437</v>
      </c>
      <c r="C9" s="35" t="n">
        <v>-46</v>
      </c>
      <c r="D9" s="35" t="n">
        <v>-46</v>
      </c>
      <c r="E9" s="35"/>
      <c r="F9" s="35" t="n">
        <v>-1</v>
      </c>
      <c r="G9" s="35" t="n">
        <v>540</v>
      </c>
      <c r="H9" s="35" t="n">
        <v>312</v>
      </c>
      <c r="I9" s="35" t="n">
        <v>372</v>
      </c>
      <c r="J9" s="35"/>
      <c r="K9" s="35" t="n">
        <v>432</v>
      </c>
      <c r="L9" s="35" t="n">
        <v>180</v>
      </c>
      <c r="M9" s="35" t="n">
        <v>726</v>
      </c>
      <c r="N9" s="35"/>
      <c r="O9" s="35" t="n">
        <v>60</v>
      </c>
      <c r="P9" s="35" t="s">
        <v>451</v>
      </c>
      <c r="Q9" s="35"/>
      <c r="R9" s="35" t="n">
        <v>0.2</v>
      </c>
      <c r="S9" s="35" t="n">
        <v>1.8</v>
      </c>
    </row>
    <row r="10" customFormat="false" ht="13.8" hidden="false" customHeight="false" outlineLevel="0" collapsed="false">
      <c r="A10" s="39" t="s">
        <v>472</v>
      </c>
      <c r="B10" s="63" t="s">
        <v>437</v>
      </c>
      <c r="C10" s="35" t="n">
        <v>-54</v>
      </c>
      <c r="D10" s="35" t="n">
        <v>-54</v>
      </c>
      <c r="E10" s="35"/>
      <c r="F10" s="35" t="n">
        <v>-1</v>
      </c>
      <c r="G10" s="35" t="n">
        <v>450</v>
      </c>
      <c r="H10" s="35" t="n">
        <v>300</v>
      </c>
      <c r="I10" s="35" t="n">
        <v>270</v>
      </c>
      <c r="J10" s="35"/>
      <c r="K10" s="35" t="n">
        <v>426</v>
      </c>
      <c r="L10" s="35" t="n">
        <v>186</v>
      </c>
      <c r="M10" s="35" t="n">
        <v>1080</v>
      </c>
      <c r="N10" s="35" t="n">
        <v>2400</v>
      </c>
      <c r="O10" s="35" t="n">
        <v>60</v>
      </c>
      <c r="P10" s="35" t="s">
        <v>451</v>
      </c>
      <c r="Q10" s="35"/>
      <c r="R10" s="35" t="n">
        <v>0.45</v>
      </c>
      <c r="S10" s="35" t="n">
        <v>1.2</v>
      </c>
    </row>
    <row r="11" customFormat="false" ht="13.8" hidden="false" customHeight="false" outlineLevel="0" collapsed="false">
      <c r="A11" s="60" t="s">
        <v>473</v>
      </c>
      <c r="B11" s="61" t="s">
        <v>437</v>
      </c>
      <c r="C11" s="62" t="n">
        <v>-83</v>
      </c>
      <c r="D11" s="62" t="n">
        <v>-83</v>
      </c>
      <c r="E11" s="62"/>
      <c r="F11" s="62" t="n">
        <v>-1</v>
      </c>
      <c r="G11" s="62" t="n">
        <v>540</v>
      </c>
      <c r="H11" s="62" t="n">
        <v>624</v>
      </c>
      <c r="I11" s="62" t="n">
        <v>744</v>
      </c>
      <c r="J11" s="62"/>
      <c r="K11" s="62" t="n">
        <v>864</v>
      </c>
      <c r="L11" s="62" t="n">
        <v>360</v>
      </c>
      <c r="M11" s="62" t="n">
        <v>1452</v>
      </c>
      <c r="N11" s="62"/>
      <c r="O11" s="35" t="n">
        <v>60</v>
      </c>
      <c r="P11" s="35" t="s">
        <v>451</v>
      </c>
      <c r="Q11" s="62"/>
      <c r="R11" s="62" t="n">
        <v>0.2</v>
      </c>
      <c r="S11" s="62" t="n">
        <v>1</v>
      </c>
    </row>
    <row r="12" customFormat="false" ht="13.8" hidden="false" customHeight="false" outlineLevel="0" collapsed="false">
      <c r="A12" s="60" t="s">
        <v>474</v>
      </c>
      <c r="B12" s="61" t="s">
        <v>437</v>
      </c>
      <c r="C12" s="62" t="n">
        <v>-77</v>
      </c>
      <c r="D12" s="62" t="n">
        <v>-77</v>
      </c>
      <c r="E12" s="62"/>
      <c r="F12" s="62" t="n">
        <v>-1</v>
      </c>
      <c r="G12" s="62" t="n">
        <v>550</v>
      </c>
      <c r="H12" s="62" t="n">
        <v>450</v>
      </c>
      <c r="I12" s="62" t="n">
        <v>510</v>
      </c>
      <c r="J12" s="62"/>
      <c r="K12" s="62" t="n">
        <v>648</v>
      </c>
      <c r="L12" s="62" t="n">
        <v>288</v>
      </c>
      <c r="M12" s="62" t="n">
        <v>1800</v>
      </c>
      <c r="N12" s="62" t="n">
        <v>4500</v>
      </c>
      <c r="O12" s="35" t="n">
        <v>60</v>
      </c>
      <c r="P12" s="35" t="s">
        <v>451</v>
      </c>
      <c r="Q12" s="62"/>
      <c r="R12" s="62" t="n">
        <v>0.5</v>
      </c>
      <c r="S12" s="62" t="n">
        <v>0.8</v>
      </c>
    </row>
    <row r="13" customFormat="false" ht="13.8" hidden="false" customHeight="false" outlineLevel="0" collapsed="false">
      <c r="A13" s="60" t="s">
        <v>475</v>
      </c>
      <c r="B13" s="61" t="s">
        <v>437</v>
      </c>
      <c r="C13" s="62" t="n">
        <v>-60</v>
      </c>
      <c r="D13" s="62" t="n">
        <v>-60</v>
      </c>
      <c r="E13" s="62"/>
      <c r="F13" s="62" t="n">
        <v>-1</v>
      </c>
      <c r="G13" s="62" t="n">
        <v>480</v>
      </c>
      <c r="H13" s="62" t="n">
        <v>200</v>
      </c>
      <c r="I13" s="62" t="n">
        <v>1200</v>
      </c>
      <c r="J13" s="62"/>
      <c r="K13" s="62" t="n">
        <v>420</v>
      </c>
      <c r="L13" s="62" t="n">
        <v>166.6667</v>
      </c>
      <c r="M13" s="62" t="n">
        <v>2266.6667</v>
      </c>
      <c r="N13" s="62"/>
      <c r="O13" s="35" t="n">
        <v>6.66666666666667</v>
      </c>
      <c r="P13" s="35"/>
      <c r="Q13" s="62"/>
      <c r="R13" s="62" t="n">
        <v>2</v>
      </c>
      <c r="S13" s="62" t="n">
        <v>1.6</v>
      </c>
    </row>
  </sheetData>
  <autoFilter ref="A1:S13"/>
  <conditionalFormatting sqref="A1:S1">
    <cfRule type="expression" priority="2" aboveAverage="0" equalAverage="0" bottom="0" percent="0" rank="0" text="" dxfId="0">
      <formula>AND(OR(COUNTIF('master sheet'!$A$2:$A$111,A1)&gt;0,COUNTIF('master sheet'!$C$2:$C$111,A1)&gt;0),IF(COUNTIF('master sheet'!$A$2:$A$111,A1)&gt;0,INDEX('master sheet'!$B$2:$B$111,MATCH(A1,'master sheet'!$A$2:$A$111,0)),INDEX('master sheet'!$B$2:$B$111,MATCH(A1,'master sheet'!$C$2:$C$111,0)))&lt;&gt;"")</formula>
    </cfRule>
  </conditionalFormatting>
  <conditionalFormatting sqref="A1:S1">
    <cfRule type="expression" priority="3" aboveAverage="0" equalAverage="0" bottom="0" percent="0" rank="0" text="" dxfId="1">
      <formula>AND(COUNTIF('master sheet'!$A$2:$A$111,A1)=0,COUNTIF('master sheet'!$C$2:$C$111,A1)=0)</formula>
    </cfRule>
  </conditionalFormatting>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&amp;C&amp;"Arial,Regular"&amp;10&amp;Kffffff&amp;A</oddHeader>
    <oddFooter>&amp;C&amp;"Arial,Regular"&amp;10&amp;KffffffPage &amp;P</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3.8" zeroHeight="false" outlineLevelRow="0" outlineLevelCol="0"/>
  <cols>
    <col collapsed="false" customWidth="true" hidden="false" outlineLevel="0" max="1" min="1" style="1" width="18.79"/>
    <col collapsed="false" customWidth="true" hidden="false" outlineLevel="0" max="2" min="2" style="1" width="15.68"/>
    <col collapsed="false" customWidth="true" hidden="false" outlineLevel="0" max="20" min="3" style="1" width="6.74"/>
    <col collapsed="false" customWidth="true" hidden="false" outlineLevel="0" max="78" min="21" style="0" width="6.74"/>
    <col collapsed="false" customWidth="true" hidden="false" outlineLevel="0" max="16384" min="16346" style="1" width="10.16"/>
  </cols>
  <sheetData>
    <row r="1" customFormat="false" ht="90.7" hidden="false" customHeight="true" outlineLevel="0" collapsed="false">
      <c r="A1" s="59" t="s">
        <v>0</v>
      </c>
      <c r="B1" s="59" t="s">
        <v>59</v>
      </c>
      <c r="C1" s="59" t="s">
        <v>1</v>
      </c>
      <c r="D1" s="59" t="s">
        <v>433</v>
      </c>
      <c r="E1" s="59" t="s">
        <v>80</v>
      </c>
      <c r="F1" s="59" t="s">
        <v>149</v>
      </c>
      <c r="G1" s="59" t="s">
        <v>446</v>
      </c>
      <c r="H1" s="59" t="s">
        <v>113</v>
      </c>
      <c r="I1" s="59" t="s">
        <v>73</v>
      </c>
      <c r="J1" s="59" t="s">
        <v>76</v>
      </c>
      <c r="K1" s="59" t="s">
        <v>117</v>
      </c>
      <c r="L1" s="59" t="s">
        <v>89</v>
      </c>
      <c r="M1" s="59" t="s">
        <v>97</v>
      </c>
      <c r="N1" s="59" t="s">
        <v>65</v>
      </c>
      <c r="O1" s="59" t="s">
        <v>95</v>
      </c>
      <c r="P1" s="59" t="s">
        <v>88</v>
      </c>
      <c r="Q1" s="59" t="s">
        <v>150</v>
      </c>
      <c r="R1" s="59" t="s">
        <v>53</v>
      </c>
      <c r="S1" s="59" t="s">
        <v>105</v>
      </c>
      <c r="T1" s="33" t="s">
        <v>114</v>
      </c>
    </row>
    <row r="2" customFormat="false" ht="13.8" hidden="false" customHeight="false" outlineLevel="0" collapsed="false">
      <c r="A2" s="39" t="s">
        <v>476</v>
      </c>
      <c r="B2" s="63" t="s">
        <v>448</v>
      </c>
      <c r="C2" s="35" t="n">
        <v>-17</v>
      </c>
      <c r="D2" s="35" t="n">
        <v>-17</v>
      </c>
      <c r="E2" s="35" t="n">
        <v>-1</v>
      </c>
      <c r="F2" s="35"/>
      <c r="G2" s="35" t="n">
        <v>15</v>
      </c>
      <c r="H2" s="35" t="n">
        <v>300</v>
      </c>
      <c r="I2" s="35" t="n">
        <v>180</v>
      </c>
      <c r="J2" s="35" t="n">
        <v>60</v>
      </c>
      <c r="K2" s="35" t="n">
        <v>180</v>
      </c>
      <c r="L2" s="35" t="n">
        <v>75</v>
      </c>
      <c r="M2" s="35" t="n">
        <v>300</v>
      </c>
      <c r="N2" s="35"/>
      <c r="O2" s="35" t="n">
        <v>4.5</v>
      </c>
      <c r="P2" s="35"/>
      <c r="Q2" s="35"/>
      <c r="R2" s="35"/>
      <c r="S2" s="35" t="n">
        <v>467.5</v>
      </c>
      <c r="T2" s="63"/>
    </row>
    <row r="3" customFormat="false" ht="13.8" hidden="false" customHeight="false" outlineLevel="0" collapsed="false">
      <c r="A3" s="60" t="s">
        <v>477</v>
      </c>
      <c r="B3" s="61" t="s">
        <v>437</v>
      </c>
      <c r="C3" s="62" t="n">
        <v>-26</v>
      </c>
      <c r="D3" s="62" t="n">
        <v>-26</v>
      </c>
      <c r="E3" s="62"/>
      <c r="F3" s="62" t="n">
        <v>-1</v>
      </c>
      <c r="G3" s="35" t="n">
        <v>4</v>
      </c>
      <c r="H3" s="62" t="n">
        <v>480</v>
      </c>
      <c r="I3" s="62" t="n">
        <v>192</v>
      </c>
      <c r="J3" s="62" t="n">
        <v>96</v>
      </c>
      <c r="K3" s="62" t="n">
        <v>192</v>
      </c>
      <c r="L3" s="62" t="n">
        <v>80</v>
      </c>
      <c r="M3" s="62" t="n">
        <v>480</v>
      </c>
      <c r="N3" s="62"/>
      <c r="O3" s="62" t="n">
        <v>3</v>
      </c>
      <c r="P3" s="62"/>
      <c r="Q3" s="62" t="n">
        <v>3.5</v>
      </c>
      <c r="R3" s="62"/>
      <c r="S3" s="62" t="n">
        <v>567</v>
      </c>
      <c r="T3" s="61" t="s">
        <v>478</v>
      </c>
    </row>
    <row r="4" customFormat="false" ht="13.8" hidden="false" customHeight="false" outlineLevel="0" collapsed="false">
      <c r="A4" s="39" t="s">
        <v>479</v>
      </c>
      <c r="B4" s="63" t="s">
        <v>448</v>
      </c>
      <c r="C4" s="35" t="n">
        <v>-47</v>
      </c>
      <c r="D4" s="35" t="n">
        <v>-47</v>
      </c>
      <c r="E4" s="35" t="n">
        <v>-1</v>
      </c>
      <c r="F4" s="35"/>
      <c r="G4" s="35" t="n">
        <v>1</v>
      </c>
      <c r="H4" s="35" t="n">
        <v>600</v>
      </c>
      <c r="I4" s="35" t="n">
        <v>120</v>
      </c>
      <c r="J4" s="35" t="n">
        <v>150</v>
      </c>
      <c r="K4" s="35" t="n">
        <v>168</v>
      </c>
      <c r="L4" s="35" t="n">
        <v>60</v>
      </c>
      <c r="M4" s="35" t="n">
        <v>600</v>
      </c>
      <c r="N4" s="35"/>
      <c r="O4" s="35" t="n">
        <v>1</v>
      </c>
      <c r="P4" s="35"/>
      <c r="Q4" s="35"/>
      <c r="R4" s="35"/>
      <c r="S4" s="35" t="n">
        <v>800</v>
      </c>
      <c r="T4" s="63"/>
    </row>
    <row r="5" customFormat="false" ht="13.8" hidden="false" customHeight="false" outlineLevel="0" collapsed="false">
      <c r="A5" s="60" t="s">
        <v>480</v>
      </c>
      <c r="B5" s="61" t="s">
        <v>448</v>
      </c>
      <c r="C5" s="62" t="n">
        <v>-97</v>
      </c>
      <c r="D5" s="62" t="n">
        <v>-97</v>
      </c>
      <c r="E5" s="62" t="n">
        <v>-1</v>
      </c>
      <c r="F5" s="62"/>
      <c r="G5" s="35" t="n">
        <v>0.171428571428571</v>
      </c>
      <c r="H5" s="62" t="n">
        <v>171.4286</v>
      </c>
      <c r="I5" s="62" t="n">
        <v>121.7143</v>
      </c>
      <c r="J5" s="62" t="n">
        <v>27.4286</v>
      </c>
      <c r="K5" s="62" t="n">
        <v>20.5714</v>
      </c>
      <c r="L5" s="62" t="n">
        <v>6.8571</v>
      </c>
      <c r="M5" s="62" t="n">
        <v>3771.4286</v>
      </c>
      <c r="N5" s="62" t="n">
        <v>548.5714</v>
      </c>
      <c r="O5" s="62" t="n">
        <v>0.2</v>
      </c>
      <c r="P5" s="62" t="s">
        <v>481</v>
      </c>
      <c r="Q5" s="62"/>
      <c r="R5" s="62" t="n">
        <v>20</v>
      </c>
      <c r="S5" s="62" t="n">
        <v>1800</v>
      </c>
      <c r="T5" s="61"/>
    </row>
  </sheetData>
  <autoFilter ref="A1:T5"/>
  <conditionalFormatting sqref="A1:T1">
    <cfRule type="expression" priority="2" aboveAverage="0" equalAverage="0" bottom="0" percent="0" rank="0" text="" dxfId="0">
      <formula>AND(OR(COUNTIF('master sheet'!$A$2:$A$111,A1)&gt;0,COUNTIF('master sheet'!$C$2:$C$111,A1)&gt;0),IF(COUNTIF('master sheet'!$A$2:$A$111,A1)&gt;0,INDEX('master sheet'!$B$2:$B$111,MATCH(A1,'master sheet'!$A$2:$A$111,0)),INDEX('master sheet'!$B$2:$B$111,MATCH(A1,'master sheet'!$C$2:$C$111,0)))&lt;&gt;"")</formula>
    </cfRule>
  </conditionalFormatting>
  <conditionalFormatting sqref="A1:T1">
    <cfRule type="expression" priority="3" aboveAverage="0" equalAverage="0" bottom="0" percent="0" rank="0" text="" dxfId="1">
      <formula>AND(COUNTIF('master sheet'!$A$2:$A$111,A1)=0,COUNTIF('master sheet'!$C$2:$C$111,A1)=0)</formula>
    </cfRule>
  </conditionalFormatting>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&amp;C&amp;"Arial,Regular"&amp;10&amp;Kffffff&amp;A</oddHeader>
    <oddFooter>&amp;C&amp;"Arial,Regular"&amp;10&amp;KffffffPage &amp;P</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048576"/>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L15" activeCellId="0" sqref="L15"/>
    </sheetView>
  </sheetViews>
  <sheetFormatPr defaultColWidth="8.59765625" defaultRowHeight="13.8" zeroHeight="false" outlineLevelRow="0" outlineLevelCol="0"/>
  <cols>
    <col collapsed="false" customWidth="true" hidden="false" outlineLevel="0" max="1" min="1" style="1" width="19.72"/>
    <col collapsed="false" customWidth="true" hidden="false" outlineLevel="0" max="2" min="2" style="1" width="6.9"/>
    <col collapsed="false" customWidth="true" hidden="false" outlineLevel="0" max="29" min="3" style="1" width="6.74"/>
    <col collapsed="false" customWidth="true" hidden="false" outlineLevel="0" max="194" min="30" style="0" width="6.74"/>
    <col collapsed="false" customWidth="true" hidden="false" outlineLevel="0" max="16384" min="16346" style="1" width="10.16"/>
  </cols>
  <sheetData>
    <row r="1" s="66" customFormat="true" ht="90.7" hidden="false" customHeight="true" outlineLevel="0" collapsed="false">
      <c r="A1" s="33" t="s">
        <v>0</v>
      </c>
      <c r="B1" s="33" t="s">
        <v>59</v>
      </c>
      <c r="C1" s="33" t="s">
        <v>433</v>
      </c>
      <c r="D1" s="33" t="s">
        <v>80</v>
      </c>
      <c r="E1" s="33" t="s">
        <v>149</v>
      </c>
      <c r="F1" s="33" t="s">
        <v>105</v>
      </c>
      <c r="G1" s="33" t="s">
        <v>73</v>
      </c>
      <c r="H1" s="33" t="s">
        <v>76</v>
      </c>
      <c r="I1" s="33" t="s">
        <v>117</v>
      </c>
      <c r="J1" s="33" t="s">
        <v>89</v>
      </c>
      <c r="K1" s="33" t="s">
        <v>1</v>
      </c>
      <c r="L1" s="33" t="s">
        <v>96</v>
      </c>
      <c r="M1" s="64" t="s">
        <v>86</v>
      </c>
      <c r="N1" s="64" t="s">
        <v>68</v>
      </c>
      <c r="O1" s="64" t="s">
        <v>118</v>
      </c>
      <c r="P1" s="64" t="s">
        <v>90</v>
      </c>
      <c r="Q1" s="64" t="s">
        <v>154</v>
      </c>
      <c r="R1" s="64" t="s">
        <v>152</v>
      </c>
      <c r="S1" s="64" t="s">
        <v>153</v>
      </c>
      <c r="T1" s="64" t="s">
        <v>446</v>
      </c>
      <c r="U1" s="65" t="s">
        <v>384</v>
      </c>
      <c r="V1" s="65" t="s">
        <v>95</v>
      </c>
      <c r="W1" s="65" t="s">
        <v>150</v>
      </c>
      <c r="X1" s="65" t="s">
        <v>84</v>
      </c>
      <c r="Y1" s="65" t="s">
        <v>54</v>
      </c>
      <c r="Z1" s="65" t="s">
        <v>130</v>
      </c>
      <c r="AA1" s="65" t="s">
        <v>87</v>
      </c>
      <c r="AB1" s="65" t="s">
        <v>88</v>
      </c>
      <c r="AC1" s="65" t="s">
        <v>103</v>
      </c>
      <c r="XEO1" s="1"/>
      <c r="XEP1" s="1"/>
      <c r="XEQ1" s="1"/>
      <c r="XER1" s="1"/>
      <c r="XES1" s="1"/>
      <c r="XET1" s="1"/>
      <c r="XEU1" s="1"/>
      <c r="XEV1" s="1"/>
      <c r="XEW1" s="1"/>
      <c r="XEX1" s="1"/>
      <c r="XEY1" s="1"/>
      <c r="XEZ1" s="1"/>
      <c r="XFA1" s="1"/>
      <c r="XFB1" s="1"/>
      <c r="XFC1" s="1"/>
      <c r="XFD1" s="1"/>
    </row>
    <row r="2" customFormat="false" ht="13.8" hidden="false" customHeight="false" outlineLevel="0" collapsed="false">
      <c r="A2" s="39" t="s">
        <v>464</v>
      </c>
      <c r="B2" s="63" t="s">
        <v>448</v>
      </c>
      <c r="C2" s="35" t="n">
        <v>-11</v>
      </c>
      <c r="D2" s="35" t="n">
        <v>-1</v>
      </c>
      <c r="E2" s="35"/>
      <c r="F2" s="35" t="n">
        <v>520</v>
      </c>
      <c r="G2" s="35" t="n">
        <v>144</v>
      </c>
      <c r="H2" s="35" t="n">
        <v>648</v>
      </c>
      <c r="I2" s="35" t="n">
        <v>156</v>
      </c>
      <c r="J2" s="35" t="n">
        <v>132</v>
      </c>
      <c r="K2" s="35" t="n">
        <v>-11</v>
      </c>
      <c r="L2" s="63"/>
      <c r="M2" s="35" t="n">
        <v>58.9091</v>
      </c>
      <c r="N2" s="35" t="n">
        <v>13.0909</v>
      </c>
      <c r="O2" s="35" t="n">
        <v>14.1818</v>
      </c>
      <c r="P2" s="35" t="n">
        <v>12</v>
      </c>
      <c r="Q2" s="35" t="n">
        <v>13.3091</v>
      </c>
      <c r="R2" s="35" t="n">
        <v>13.6364</v>
      </c>
      <c r="S2" s="35" t="n">
        <v>12.6545</v>
      </c>
      <c r="T2" s="35" t="n">
        <v>6</v>
      </c>
      <c r="U2" s="35" t="n">
        <v>100</v>
      </c>
      <c r="V2" s="35" t="n">
        <v>4</v>
      </c>
      <c r="W2" s="35"/>
      <c r="X2" s="35" t="n">
        <v>198</v>
      </c>
      <c r="Y2" s="35"/>
      <c r="Z2" s="35"/>
      <c r="AA2" s="35"/>
      <c r="AB2" s="35"/>
      <c r="AC2" s="35"/>
    </row>
    <row r="3" customFormat="false" ht="13.8" hidden="false" customHeight="false" outlineLevel="0" collapsed="false">
      <c r="A3" s="60" t="s">
        <v>482</v>
      </c>
      <c r="B3" s="61" t="s">
        <v>448</v>
      </c>
      <c r="C3" s="62" t="n">
        <v>-7</v>
      </c>
      <c r="D3" s="62" t="n">
        <v>-1</v>
      </c>
      <c r="E3" s="62"/>
      <c r="F3" s="62" t="n">
        <v>440</v>
      </c>
      <c r="G3" s="62" t="n">
        <v>80</v>
      </c>
      <c r="H3" s="62" t="n">
        <v>60</v>
      </c>
      <c r="I3" s="62" t="n">
        <v>100</v>
      </c>
      <c r="J3" s="62" t="n">
        <v>80</v>
      </c>
      <c r="K3" s="62" t="n">
        <v>-7</v>
      </c>
      <c r="L3" s="61"/>
      <c r="M3" s="62" t="n">
        <v>8.5714</v>
      </c>
      <c r="N3" s="62" t="n">
        <v>11.4286</v>
      </c>
      <c r="O3" s="62" t="n">
        <v>14.2857</v>
      </c>
      <c r="P3" s="62" t="n">
        <v>11.4286</v>
      </c>
      <c r="Q3" s="62" t="n">
        <v>13.1429</v>
      </c>
      <c r="R3" s="62" t="n">
        <v>13.5714</v>
      </c>
      <c r="S3" s="62" t="n">
        <v>12.2857</v>
      </c>
      <c r="T3" s="35" t="n">
        <v>20</v>
      </c>
      <c r="U3" s="62"/>
      <c r="V3" s="62" t="n">
        <v>5</v>
      </c>
      <c r="W3" s="62"/>
      <c r="X3" s="62"/>
      <c r="Y3" s="62"/>
      <c r="Z3" s="62"/>
      <c r="AA3" s="62"/>
      <c r="AB3" s="62"/>
      <c r="AC3" s="62"/>
    </row>
    <row r="4" customFormat="false" ht="13.8" hidden="false" customHeight="false" outlineLevel="0" collapsed="false">
      <c r="A4" s="60" t="s">
        <v>447</v>
      </c>
      <c r="B4" s="61" t="s">
        <v>448</v>
      </c>
      <c r="C4" s="62" t="n">
        <v>-14</v>
      </c>
      <c r="D4" s="62" t="n">
        <v>-1</v>
      </c>
      <c r="E4" s="62"/>
      <c r="F4" s="62" t="n">
        <v>630</v>
      </c>
      <c r="G4" s="62" t="n">
        <v>186</v>
      </c>
      <c r="H4" s="62" t="n">
        <v>48</v>
      </c>
      <c r="I4" s="62" t="n">
        <v>258</v>
      </c>
      <c r="J4" s="62" t="n">
        <v>72</v>
      </c>
      <c r="K4" s="62" t="n">
        <v>-14</v>
      </c>
      <c r="L4" s="61"/>
      <c r="M4" s="62" t="n">
        <v>3.4286</v>
      </c>
      <c r="N4" s="62" t="n">
        <v>13.2857</v>
      </c>
      <c r="O4" s="62" t="n">
        <v>18.4286</v>
      </c>
      <c r="P4" s="62" t="n">
        <v>5.1429</v>
      </c>
      <c r="Q4" s="62" t="n">
        <v>13.1143</v>
      </c>
      <c r="R4" s="62" t="n">
        <v>15.1071</v>
      </c>
      <c r="S4" s="62" t="n">
        <v>9.1286</v>
      </c>
      <c r="T4" s="35" t="n">
        <v>6</v>
      </c>
      <c r="U4" s="62"/>
      <c r="V4" s="62" t="n">
        <v>2.5</v>
      </c>
      <c r="W4" s="62"/>
      <c r="X4" s="62"/>
      <c r="Y4" s="62"/>
      <c r="Z4" s="62"/>
      <c r="AA4" s="62"/>
      <c r="AB4" s="62"/>
      <c r="AC4" s="62"/>
    </row>
    <row r="5" customFormat="false" ht="13.8" hidden="false" customHeight="false" outlineLevel="0" collapsed="false">
      <c r="A5" s="60" t="s">
        <v>483</v>
      </c>
      <c r="B5" s="61" t="s">
        <v>448</v>
      </c>
      <c r="C5" s="62" t="n">
        <v>-10</v>
      </c>
      <c r="D5" s="62" t="n">
        <v>-1</v>
      </c>
      <c r="E5" s="62"/>
      <c r="F5" s="62" t="n">
        <v>360</v>
      </c>
      <c r="G5" s="62" t="n">
        <v>108</v>
      </c>
      <c r="H5" s="62" t="n">
        <v>81</v>
      </c>
      <c r="I5" s="62" t="n">
        <v>114</v>
      </c>
      <c r="J5" s="62" t="n">
        <v>138</v>
      </c>
      <c r="K5" s="62" t="n">
        <v>-10</v>
      </c>
      <c r="L5" s="61"/>
      <c r="M5" s="62" t="n">
        <v>8.1</v>
      </c>
      <c r="N5" s="62" t="n">
        <v>10.8</v>
      </c>
      <c r="O5" s="62" t="n">
        <v>11.4</v>
      </c>
      <c r="P5" s="62" t="n">
        <v>13.8</v>
      </c>
      <c r="Q5" s="62" t="n">
        <v>12.36</v>
      </c>
      <c r="R5" s="62" t="n">
        <v>12</v>
      </c>
      <c r="S5" s="62" t="n">
        <v>13.08</v>
      </c>
      <c r="T5" s="35" t="n">
        <v>3</v>
      </c>
      <c r="U5" s="62"/>
      <c r="V5" s="62" t="n">
        <v>9</v>
      </c>
      <c r="W5" s="62"/>
      <c r="X5" s="62"/>
      <c r="Y5" s="62"/>
      <c r="Z5" s="62"/>
      <c r="AA5" s="62"/>
      <c r="AB5" s="62"/>
      <c r="AC5" s="62"/>
    </row>
    <row r="6" customFormat="false" ht="13.8" hidden="false" customHeight="false" outlineLevel="0" collapsed="false">
      <c r="A6" s="39" t="s">
        <v>449</v>
      </c>
      <c r="B6" s="63" t="s">
        <v>437</v>
      </c>
      <c r="C6" s="35" t="n">
        <v>-32</v>
      </c>
      <c r="D6" s="35"/>
      <c r="E6" s="35" t="n">
        <v>-1</v>
      </c>
      <c r="F6" s="35" t="n">
        <v>630</v>
      </c>
      <c r="G6" s="35" t="n">
        <v>372</v>
      </c>
      <c r="H6" s="35" t="n">
        <v>96</v>
      </c>
      <c r="I6" s="35" t="n">
        <v>516</v>
      </c>
      <c r="J6" s="35" t="n">
        <v>144</v>
      </c>
      <c r="K6" s="35" t="n">
        <v>-32</v>
      </c>
      <c r="L6" s="63"/>
      <c r="M6" s="35" t="n">
        <v>3</v>
      </c>
      <c r="N6" s="35" t="n">
        <v>11.625</v>
      </c>
      <c r="O6" s="35" t="n">
        <v>16.125</v>
      </c>
      <c r="P6" s="35" t="n">
        <v>4.5</v>
      </c>
      <c r="Q6" s="35" t="n">
        <v>11.475</v>
      </c>
      <c r="R6" s="35" t="n">
        <v>13.2188</v>
      </c>
      <c r="S6" s="35" t="n">
        <v>7.9875</v>
      </c>
      <c r="T6" s="35" t="n">
        <v>6</v>
      </c>
      <c r="U6" s="35"/>
      <c r="V6" s="35" t="n">
        <v>1</v>
      </c>
      <c r="W6" s="35" t="n">
        <v>3.2</v>
      </c>
      <c r="X6" s="35"/>
      <c r="Y6" s="35"/>
      <c r="Z6" s="35"/>
      <c r="AA6" s="35"/>
      <c r="AB6" s="35"/>
      <c r="AC6" s="35"/>
    </row>
    <row r="7" customFormat="false" ht="13.8" hidden="false" customHeight="false" outlineLevel="0" collapsed="false">
      <c r="A7" s="60" t="s">
        <v>484</v>
      </c>
      <c r="B7" s="61" t="s">
        <v>448</v>
      </c>
      <c r="C7" s="62" t="n">
        <v>-10</v>
      </c>
      <c r="D7" s="62" t="n">
        <v>-1</v>
      </c>
      <c r="E7" s="62"/>
      <c r="F7" s="62" t="n">
        <v>490</v>
      </c>
      <c r="G7" s="62" t="n">
        <v>110</v>
      </c>
      <c r="H7" s="62" t="n">
        <v>150</v>
      </c>
      <c r="I7" s="62" t="n">
        <v>105</v>
      </c>
      <c r="J7" s="62" t="n">
        <v>120</v>
      </c>
      <c r="K7" s="62" t="n">
        <v>-10</v>
      </c>
      <c r="L7" s="61" t="s">
        <v>451</v>
      </c>
      <c r="M7" s="62" t="n">
        <v>15</v>
      </c>
      <c r="N7" s="62" t="n">
        <v>11</v>
      </c>
      <c r="O7" s="62" t="n">
        <v>10.5</v>
      </c>
      <c r="P7" s="62" t="n">
        <v>12</v>
      </c>
      <c r="Q7" s="62" t="n">
        <v>11.1</v>
      </c>
      <c r="R7" s="62" t="n">
        <v>10.875</v>
      </c>
      <c r="S7" s="62" t="n">
        <v>11.55</v>
      </c>
      <c r="T7" s="35" t="n">
        <v>10</v>
      </c>
      <c r="U7" s="62"/>
      <c r="V7" s="62" t="n">
        <v>0.4</v>
      </c>
      <c r="W7" s="62"/>
      <c r="X7" s="62"/>
      <c r="Y7" s="62"/>
      <c r="Z7" s="62"/>
      <c r="AA7" s="62"/>
      <c r="AB7" s="62"/>
      <c r="AC7" s="62" t="n">
        <v>0.05</v>
      </c>
    </row>
    <row r="8" customFormat="false" ht="13.8" hidden="false" customHeight="false" outlineLevel="0" collapsed="false">
      <c r="A8" s="39" t="s">
        <v>485</v>
      </c>
      <c r="B8" s="63" t="s">
        <v>448</v>
      </c>
      <c r="C8" s="35" t="n">
        <v>-19</v>
      </c>
      <c r="D8" s="35" t="n">
        <v>-1</v>
      </c>
      <c r="E8" s="35"/>
      <c r="F8" s="35" t="n">
        <v>490</v>
      </c>
      <c r="G8" s="35" t="n">
        <v>180</v>
      </c>
      <c r="H8" s="35" t="n">
        <v>60</v>
      </c>
      <c r="I8" s="35" t="n">
        <v>160</v>
      </c>
      <c r="J8" s="35" t="n">
        <v>280</v>
      </c>
      <c r="K8" s="35" t="n">
        <v>-19</v>
      </c>
      <c r="L8" s="63" t="s">
        <v>451</v>
      </c>
      <c r="M8" s="35" t="n">
        <v>3.1579</v>
      </c>
      <c r="N8" s="35" t="n">
        <v>9.4737</v>
      </c>
      <c r="O8" s="35" t="n">
        <v>8.4211</v>
      </c>
      <c r="P8" s="35" t="n">
        <v>14.7368</v>
      </c>
      <c r="Q8" s="35" t="n">
        <v>10.9474</v>
      </c>
      <c r="R8" s="35" t="n">
        <v>10</v>
      </c>
      <c r="S8" s="35" t="n">
        <v>12.8421</v>
      </c>
      <c r="T8" s="35" t="n">
        <v>33.3333333333333</v>
      </c>
      <c r="U8" s="35"/>
      <c r="V8" s="35" t="n">
        <v>2</v>
      </c>
      <c r="W8" s="35"/>
      <c r="X8" s="35"/>
      <c r="Y8" s="35"/>
      <c r="Z8" s="35"/>
      <c r="AA8" s="35"/>
      <c r="AB8" s="35"/>
      <c r="AC8" s="35"/>
    </row>
    <row r="9" customFormat="false" ht="13.8" hidden="false" customHeight="false" outlineLevel="0" collapsed="false">
      <c r="A9" s="60" t="s">
        <v>470</v>
      </c>
      <c r="B9" s="61" t="s">
        <v>437</v>
      </c>
      <c r="C9" s="62" t="n">
        <v>-29</v>
      </c>
      <c r="D9" s="62"/>
      <c r="E9" s="62" t="n">
        <v>-1</v>
      </c>
      <c r="F9" s="62" t="n">
        <v>520</v>
      </c>
      <c r="G9" s="62" t="n">
        <v>288</v>
      </c>
      <c r="H9" s="62" t="n">
        <v>1296</v>
      </c>
      <c r="I9" s="62" t="n">
        <v>312</v>
      </c>
      <c r="J9" s="62" t="n">
        <v>264</v>
      </c>
      <c r="K9" s="62" t="n">
        <v>-29</v>
      </c>
      <c r="L9" s="61"/>
      <c r="M9" s="62" t="n">
        <v>44.6897</v>
      </c>
      <c r="N9" s="62" t="n">
        <v>9.931</v>
      </c>
      <c r="O9" s="62" t="n">
        <v>10.7586</v>
      </c>
      <c r="P9" s="62" t="n">
        <v>9.1034</v>
      </c>
      <c r="Q9" s="62" t="n">
        <v>10.0966</v>
      </c>
      <c r="R9" s="62" t="n">
        <v>10.3448</v>
      </c>
      <c r="S9" s="62" t="n">
        <v>9.6</v>
      </c>
      <c r="T9" s="35" t="n">
        <v>12</v>
      </c>
      <c r="U9" s="62" t="n">
        <v>200</v>
      </c>
      <c r="V9" s="62" t="n">
        <v>3</v>
      </c>
      <c r="W9" s="62" t="n">
        <v>2.6</v>
      </c>
      <c r="X9" s="62" t="n">
        <v>396</v>
      </c>
      <c r="Y9" s="62"/>
      <c r="Z9" s="62"/>
      <c r="AA9" s="62"/>
      <c r="AB9" s="62"/>
      <c r="AC9" s="62"/>
    </row>
    <row r="10" customFormat="false" ht="13.8" hidden="false" customHeight="false" outlineLevel="0" collapsed="false">
      <c r="A10" s="39" t="s">
        <v>486</v>
      </c>
      <c r="B10" s="63" t="s">
        <v>437</v>
      </c>
      <c r="C10" s="35" t="n">
        <v>-49</v>
      </c>
      <c r="D10" s="35"/>
      <c r="E10" s="35" t="n">
        <v>-1</v>
      </c>
      <c r="F10" s="35" t="n">
        <v>360</v>
      </c>
      <c r="G10" s="35" t="n">
        <v>432</v>
      </c>
      <c r="H10" s="35" t="n">
        <v>324</v>
      </c>
      <c r="I10" s="35" t="n">
        <v>456</v>
      </c>
      <c r="J10" s="35" t="n">
        <v>552</v>
      </c>
      <c r="K10" s="35" t="n">
        <v>-49</v>
      </c>
      <c r="L10" s="63"/>
      <c r="M10" s="35" t="n">
        <v>6.6122</v>
      </c>
      <c r="N10" s="35" t="n">
        <v>8.8163</v>
      </c>
      <c r="O10" s="35" t="n">
        <v>9.3061</v>
      </c>
      <c r="P10" s="35" t="n">
        <v>11.2653</v>
      </c>
      <c r="Q10" s="35" t="n">
        <v>10.0898</v>
      </c>
      <c r="R10" s="35" t="n">
        <v>9.7959</v>
      </c>
      <c r="S10" s="35" t="n">
        <v>10.6776</v>
      </c>
      <c r="T10" s="35" t="n">
        <v>12</v>
      </c>
      <c r="U10" s="35"/>
      <c r="V10" s="35" t="n">
        <v>6</v>
      </c>
      <c r="W10" s="35" t="n">
        <v>2</v>
      </c>
      <c r="X10" s="35"/>
      <c r="Y10" s="35"/>
      <c r="Z10" s="35"/>
      <c r="AA10" s="35"/>
      <c r="AB10" s="35"/>
      <c r="AC10" s="35"/>
    </row>
    <row r="11" customFormat="false" ht="13.8" hidden="false" customHeight="false" outlineLevel="0" collapsed="false">
      <c r="A11" s="39" t="s">
        <v>459</v>
      </c>
      <c r="B11" s="63" t="s">
        <v>437</v>
      </c>
      <c r="C11" s="35" t="n">
        <v>-22</v>
      </c>
      <c r="D11" s="35"/>
      <c r="E11" s="35" t="n">
        <v>-1</v>
      </c>
      <c r="F11" s="35" t="n">
        <v>870</v>
      </c>
      <c r="G11" s="35" t="n">
        <v>240</v>
      </c>
      <c r="H11" s="35" t="n">
        <v>420</v>
      </c>
      <c r="I11" s="35" t="n">
        <v>240</v>
      </c>
      <c r="J11" s="35" t="n">
        <v>180</v>
      </c>
      <c r="K11" s="35" t="n">
        <v>-28</v>
      </c>
      <c r="L11" s="63"/>
      <c r="M11" s="35" t="n">
        <v>19.0909</v>
      </c>
      <c r="N11" s="35" t="n">
        <v>10.9091</v>
      </c>
      <c r="O11" s="35" t="n">
        <v>10.9091</v>
      </c>
      <c r="P11" s="35" t="n">
        <v>8.1818</v>
      </c>
      <c r="Q11" s="35" t="n">
        <v>9.8182</v>
      </c>
      <c r="R11" s="35" t="n">
        <v>10.2273</v>
      </c>
      <c r="S11" s="35" t="n">
        <v>9</v>
      </c>
      <c r="T11" s="35" t="n">
        <v>9.23076923076923</v>
      </c>
      <c r="U11" s="35"/>
      <c r="V11" s="35" t="n">
        <v>0.5</v>
      </c>
      <c r="W11" s="35" t="n">
        <v>3.6</v>
      </c>
      <c r="X11" s="35"/>
      <c r="Y11" s="35"/>
      <c r="Z11" s="35" t="n">
        <v>461.5385</v>
      </c>
      <c r="AA11" s="35" t="n">
        <v>540</v>
      </c>
      <c r="AB11" s="35"/>
      <c r="AC11" s="35"/>
    </row>
    <row r="12" customFormat="false" ht="13.8" hidden="false" customHeight="false" outlineLevel="0" collapsed="false">
      <c r="A12" s="60" t="s">
        <v>487</v>
      </c>
      <c r="B12" s="61" t="s">
        <v>448</v>
      </c>
      <c r="C12" s="62" t="n">
        <v>-12</v>
      </c>
      <c r="D12" s="62" t="n">
        <v>-1</v>
      </c>
      <c r="E12" s="62"/>
      <c r="F12" s="62" t="n">
        <v>490</v>
      </c>
      <c r="G12" s="62" t="n">
        <v>78</v>
      </c>
      <c r="H12" s="62" t="n">
        <v>264</v>
      </c>
      <c r="I12" s="62" t="n">
        <v>120</v>
      </c>
      <c r="J12" s="62" t="n">
        <v>114</v>
      </c>
      <c r="K12" s="62" t="n">
        <v>-12</v>
      </c>
      <c r="L12" s="61" t="s">
        <v>451</v>
      </c>
      <c r="M12" s="62" t="n">
        <v>22</v>
      </c>
      <c r="N12" s="62" t="n">
        <v>6.5</v>
      </c>
      <c r="O12" s="62" t="n">
        <v>10</v>
      </c>
      <c r="P12" s="62" t="n">
        <v>9.5</v>
      </c>
      <c r="Q12" s="62" t="n">
        <v>9.8</v>
      </c>
      <c r="R12" s="62" t="n">
        <v>9.875</v>
      </c>
      <c r="S12" s="62" t="n">
        <v>9.65</v>
      </c>
      <c r="T12" s="35" t="n">
        <v>8.57142857142857</v>
      </c>
      <c r="U12" s="62"/>
      <c r="V12" s="62" t="n">
        <v>5.5</v>
      </c>
      <c r="W12" s="62"/>
      <c r="X12" s="62"/>
      <c r="Y12" s="62"/>
      <c r="Z12" s="62"/>
      <c r="AA12" s="62"/>
      <c r="AB12" s="62"/>
      <c r="AC12" s="62" t="n">
        <v>0.05</v>
      </c>
    </row>
    <row r="13" customFormat="false" ht="13.8" hidden="false" customHeight="false" outlineLevel="0" collapsed="false">
      <c r="A13" s="60" t="s">
        <v>466</v>
      </c>
      <c r="B13" s="61" t="s">
        <v>448</v>
      </c>
      <c r="C13" s="62" t="n">
        <v>-34</v>
      </c>
      <c r="D13" s="62" t="n">
        <v>-1</v>
      </c>
      <c r="E13" s="62"/>
      <c r="F13" s="62" t="n">
        <v>540</v>
      </c>
      <c r="G13" s="62" t="n">
        <v>312</v>
      </c>
      <c r="H13" s="62" t="n">
        <v>372</v>
      </c>
      <c r="I13" s="62" t="n">
        <v>432</v>
      </c>
      <c r="J13" s="62" t="n">
        <v>180</v>
      </c>
      <c r="K13" s="62" t="n">
        <v>-34</v>
      </c>
      <c r="L13" s="61" t="s">
        <v>451</v>
      </c>
      <c r="M13" s="62" t="n">
        <v>10.9412</v>
      </c>
      <c r="N13" s="62" t="n">
        <v>9.1765</v>
      </c>
      <c r="O13" s="62" t="n">
        <v>12.7059</v>
      </c>
      <c r="P13" s="62" t="n">
        <v>5.2941</v>
      </c>
      <c r="Q13" s="62" t="n">
        <v>9.7412</v>
      </c>
      <c r="R13" s="62" t="n">
        <v>10.8529</v>
      </c>
      <c r="S13" s="62" t="n">
        <v>7.5176</v>
      </c>
      <c r="T13" s="35" t="n">
        <v>60</v>
      </c>
      <c r="U13" s="62"/>
      <c r="V13" s="62" t="n">
        <v>0.2</v>
      </c>
      <c r="W13" s="62"/>
      <c r="X13" s="62" t="n">
        <v>726</v>
      </c>
      <c r="Y13" s="62"/>
      <c r="Z13" s="62"/>
      <c r="AA13" s="62"/>
      <c r="AB13" s="62"/>
      <c r="AC13" s="62"/>
    </row>
    <row r="14" customFormat="false" ht="13.8" hidden="false" customHeight="false" outlineLevel="0" collapsed="false">
      <c r="A14" s="39" t="s">
        <v>488</v>
      </c>
      <c r="B14" s="63" t="s">
        <v>448</v>
      </c>
      <c r="C14" s="35" t="n">
        <v>-42</v>
      </c>
      <c r="D14" s="35" t="n">
        <v>-1</v>
      </c>
      <c r="E14" s="35"/>
      <c r="F14" s="35" t="n">
        <v>450</v>
      </c>
      <c r="G14" s="35" t="n">
        <v>250</v>
      </c>
      <c r="H14" s="35" t="n">
        <v>600</v>
      </c>
      <c r="I14" s="35" t="n">
        <v>450</v>
      </c>
      <c r="J14" s="35" t="n">
        <v>340</v>
      </c>
      <c r="K14" s="35" t="n">
        <v>-42</v>
      </c>
      <c r="L14" s="63"/>
      <c r="M14" s="35" t="n">
        <v>14.2857</v>
      </c>
      <c r="N14" s="35" t="n">
        <v>5.9524</v>
      </c>
      <c r="O14" s="35" t="n">
        <v>10.7143</v>
      </c>
      <c r="P14" s="35" t="n">
        <v>8.0952</v>
      </c>
      <c r="Q14" s="35" t="n">
        <v>9.6667</v>
      </c>
      <c r="R14" s="35" t="n">
        <v>10.0595</v>
      </c>
      <c r="S14" s="35" t="n">
        <v>8.881</v>
      </c>
      <c r="T14" s="35" t="n">
        <v>10</v>
      </c>
      <c r="U14" s="35"/>
      <c r="V14" s="35" t="n">
        <v>5</v>
      </c>
      <c r="W14" s="35"/>
      <c r="X14" s="35"/>
      <c r="Y14" s="35"/>
      <c r="Z14" s="35"/>
      <c r="AA14" s="35"/>
      <c r="AB14" s="35"/>
      <c r="AC14" s="35"/>
    </row>
    <row r="15" customFormat="false" ht="13.8" hidden="false" customHeight="false" outlineLevel="0" collapsed="false">
      <c r="A15" s="60" t="s">
        <v>489</v>
      </c>
      <c r="B15" s="61" t="s">
        <v>448</v>
      </c>
      <c r="C15" s="62" t="n">
        <v>-6</v>
      </c>
      <c r="D15" s="62" t="n">
        <v>-1</v>
      </c>
      <c r="E15" s="62"/>
      <c r="F15" s="62" t="n">
        <v>480</v>
      </c>
      <c r="G15" s="62" t="n">
        <v>32.5</v>
      </c>
      <c r="H15" s="62" t="n">
        <v>126</v>
      </c>
      <c r="I15" s="62" t="n">
        <v>66</v>
      </c>
      <c r="J15" s="62" t="n">
        <v>44</v>
      </c>
      <c r="K15" s="62" t="n">
        <v>-6</v>
      </c>
      <c r="L15" s="61"/>
      <c r="M15" s="62" t="n">
        <v>21</v>
      </c>
      <c r="N15" s="62" t="n">
        <v>5.4167</v>
      </c>
      <c r="O15" s="62" t="n">
        <v>11</v>
      </c>
      <c r="P15" s="62" t="n">
        <v>7.3333</v>
      </c>
      <c r="Q15" s="62" t="n">
        <v>9.5333</v>
      </c>
      <c r="R15" s="62" t="n">
        <v>10.0833</v>
      </c>
      <c r="S15" s="62" t="n">
        <v>8.4333</v>
      </c>
      <c r="T15" s="35" t="n">
        <v>5</v>
      </c>
      <c r="U15" s="62"/>
      <c r="V15" s="62" t="n">
        <v>4</v>
      </c>
      <c r="W15" s="62"/>
      <c r="X15" s="62"/>
      <c r="Y15" s="62"/>
      <c r="Z15" s="62"/>
      <c r="AA15" s="62"/>
      <c r="AB15" s="62"/>
      <c r="AC15" s="62"/>
    </row>
    <row r="16" customFormat="false" ht="13.8" hidden="false" customHeight="false" outlineLevel="0" collapsed="false">
      <c r="A16" s="39" t="s">
        <v>490</v>
      </c>
      <c r="B16" s="63" t="s">
        <v>448</v>
      </c>
      <c r="C16" s="35" t="n">
        <v>-13</v>
      </c>
      <c r="D16" s="35" t="n">
        <v>-1</v>
      </c>
      <c r="E16" s="35"/>
      <c r="F16" s="35" t="n">
        <v>450</v>
      </c>
      <c r="G16" s="35" t="n">
        <v>72</v>
      </c>
      <c r="H16" s="35" t="n">
        <v>210</v>
      </c>
      <c r="I16" s="35" t="n">
        <v>135</v>
      </c>
      <c r="J16" s="35" t="n">
        <v>102</v>
      </c>
      <c r="K16" s="35" t="n">
        <v>-13</v>
      </c>
      <c r="L16" s="63"/>
      <c r="M16" s="35" t="n">
        <v>16.1538</v>
      </c>
      <c r="N16" s="35" t="n">
        <v>5.5385</v>
      </c>
      <c r="O16" s="35" t="n">
        <v>10.3846</v>
      </c>
      <c r="P16" s="35" t="n">
        <v>7.8462</v>
      </c>
      <c r="Q16" s="35" t="n">
        <v>9.3692</v>
      </c>
      <c r="R16" s="35" t="n">
        <v>9.75</v>
      </c>
      <c r="S16" s="35" t="n">
        <v>8.6077</v>
      </c>
      <c r="T16" s="35" t="n">
        <v>3</v>
      </c>
      <c r="U16" s="35"/>
      <c r="V16" s="35" t="n">
        <v>1</v>
      </c>
      <c r="W16" s="35"/>
      <c r="X16" s="35"/>
      <c r="Y16" s="35"/>
      <c r="Z16" s="35"/>
      <c r="AA16" s="35"/>
      <c r="AB16" s="35"/>
      <c r="AC16" s="35"/>
    </row>
    <row r="17" customFormat="false" ht="13.8" hidden="false" customHeight="false" outlineLevel="0" collapsed="false">
      <c r="A17" s="60" t="s">
        <v>491</v>
      </c>
      <c r="B17" s="61" t="s">
        <v>448</v>
      </c>
      <c r="C17" s="62" t="n">
        <v>-18</v>
      </c>
      <c r="D17" s="62" t="n">
        <v>-1</v>
      </c>
      <c r="E17" s="62"/>
      <c r="F17" s="62" t="n">
        <v>480</v>
      </c>
      <c r="G17" s="62" t="n">
        <v>222</v>
      </c>
      <c r="H17" s="62" t="n">
        <v>90</v>
      </c>
      <c r="I17" s="62" t="n">
        <v>108</v>
      </c>
      <c r="J17" s="62" t="n">
        <v>258</v>
      </c>
      <c r="K17" s="62" t="n">
        <v>-18</v>
      </c>
      <c r="L17" s="61" t="s">
        <v>451</v>
      </c>
      <c r="M17" s="62" t="n">
        <v>5</v>
      </c>
      <c r="N17" s="62" t="n">
        <v>12.3333</v>
      </c>
      <c r="O17" s="62" t="n">
        <v>6</v>
      </c>
      <c r="P17" s="62" t="n">
        <v>14.3333</v>
      </c>
      <c r="Q17" s="62" t="n">
        <v>9.3333</v>
      </c>
      <c r="R17" s="62" t="n">
        <v>8.0833</v>
      </c>
      <c r="S17" s="62" t="n">
        <v>11.8333</v>
      </c>
      <c r="T17" s="35" t="n">
        <v>60</v>
      </c>
      <c r="U17" s="62"/>
      <c r="V17" s="62" t="n">
        <v>0.2</v>
      </c>
      <c r="W17" s="62"/>
      <c r="X17" s="62"/>
      <c r="Y17" s="62"/>
      <c r="Z17" s="62"/>
      <c r="AA17" s="62"/>
      <c r="AB17" s="62"/>
      <c r="AC17" s="62"/>
    </row>
    <row r="18" customFormat="false" ht="13.8" hidden="false" customHeight="false" outlineLevel="0" collapsed="false">
      <c r="A18" s="60" t="s">
        <v>492</v>
      </c>
      <c r="B18" s="61" t="s">
        <v>448</v>
      </c>
      <c r="C18" s="62" t="n">
        <v>-5</v>
      </c>
      <c r="D18" s="62" t="n">
        <v>-1</v>
      </c>
      <c r="E18" s="62"/>
      <c r="F18" s="62" t="n">
        <v>510</v>
      </c>
      <c r="G18" s="62" t="n">
        <v>29</v>
      </c>
      <c r="H18" s="62" t="n">
        <v>90</v>
      </c>
      <c r="I18" s="62" t="n">
        <v>53</v>
      </c>
      <c r="J18" s="62" t="n">
        <v>33</v>
      </c>
      <c r="K18" s="62" t="n">
        <v>-5</v>
      </c>
      <c r="L18" s="61"/>
      <c r="M18" s="62" t="n">
        <v>18</v>
      </c>
      <c r="N18" s="62" t="n">
        <v>5.8</v>
      </c>
      <c r="O18" s="62" t="n">
        <v>10.6</v>
      </c>
      <c r="P18" s="62" t="n">
        <v>6.6</v>
      </c>
      <c r="Q18" s="62" t="n">
        <v>9</v>
      </c>
      <c r="R18" s="62" t="n">
        <v>9.6</v>
      </c>
      <c r="S18" s="62" t="n">
        <v>7.8</v>
      </c>
      <c r="T18" s="35" t="n">
        <v>5</v>
      </c>
      <c r="U18" s="62"/>
      <c r="V18" s="62" t="n">
        <v>3</v>
      </c>
      <c r="W18" s="62"/>
      <c r="X18" s="62"/>
      <c r="Y18" s="62"/>
      <c r="Z18" s="62"/>
      <c r="AA18" s="62"/>
      <c r="AB18" s="62"/>
      <c r="AC18" s="62"/>
    </row>
    <row r="19" customFormat="false" ht="13.8" hidden="false" customHeight="false" outlineLevel="0" collapsed="false">
      <c r="A19" s="60" t="s">
        <v>493</v>
      </c>
      <c r="B19" s="61" t="s">
        <v>437</v>
      </c>
      <c r="C19" s="62" t="n">
        <v>-35</v>
      </c>
      <c r="D19" s="62"/>
      <c r="E19" s="62" t="n">
        <v>-1</v>
      </c>
      <c r="F19" s="62" t="n">
        <v>490</v>
      </c>
      <c r="G19" s="62" t="n">
        <v>270</v>
      </c>
      <c r="H19" s="62" t="n">
        <v>90</v>
      </c>
      <c r="I19" s="62" t="n">
        <v>240</v>
      </c>
      <c r="J19" s="62" t="n">
        <v>420</v>
      </c>
      <c r="K19" s="62" t="n">
        <v>-35</v>
      </c>
      <c r="L19" s="61" t="s">
        <v>451</v>
      </c>
      <c r="M19" s="62" t="n">
        <v>2.5714</v>
      </c>
      <c r="N19" s="62" t="n">
        <v>7.7143</v>
      </c>
      <c r="O19" s="62" t="n">
        <v>6.8571</v>
      </c>
      <c r="P19" s="62" t="n">
        <v>12</v>
      </c>
      <c r="Q19" s="62" t="n">
        <v>8.9143</v>
      </c>
      <c r="R19" s="62" t="n">
        <v>8.1429</v>
      </c>
      <c r="S19" s="62" t="n">
        <v>10.4571</v>
      </c>
      <c r="T19" s="35" t="n">
        <v>50</v>
      </c>
      <c r="U19" s="62"/>
      <c r="V19" s="62" t="n">
        <v>2</v>
      </c>
      <c r="W19" s="62" t="n">
        <v>2.2</v>
      </c>
      <c r="X19" s="62"/>
      <c r="Y19" s="62"/>
      <c r="Z19" s="62"/>
      <c r="AA19" s="62"/>
      <c r="AB19" s="62"/>
      <c r="AC19" s="62"/>
    </row>
    <row r="20" customFormat="false" ht="13.8" hidden="false" customHeight="false" outlineLevel="0" collapsed="false">
      <c r="A20" s="39" t="s">
        <v>494</v>
      </c>
      <c r="B20" s="63" t="s">
        <v>448</v>
      </c>
      <c r="C20" s="35" t="n">
        <v>-46</v>
      </c>
      <c r="D20" s="35" t="n">
        <v>-1</v>
      </c>
      <c r="E20" s="35"/>
      <c r="F20" s="35" t="n">
        <v>520</v>
      </c>
      <c r="G20" s="35" t="n">
        <v>207.4074</v>
      </c>
      <c r="H20" s="35" t="n">
        <v>659.2593</v>
      </c>
      <c r="I20" s="35" t="n">
        <v>233.3333</v>
      </c>
      <c r="J20" s="35" t="n">
        <v>618.5185</v>
      </c>
      <c r="K20" s="35" t="n">
        <v>-46</v>
      </c>
      <c r="L20" s="63" t="s">
        <v>451</v>
      </c>
      <c r="M20" s="35" t="n">
        <v>14.3317</v>
      </c>
      <c r="N20" s="35" t="n">
        <v>4.5089</v>
      </c>
      <c r="O20" s="35" t="n">
        <v>5.0725</v>
      </c>
      <c r="P20" s="35" t="n">
        <v>13.4461</v>
      </c>
      <c r="Q20" s="35" t="n">
        <v>8.4219</v>
      </c>
      <c r="R20" s="35" t="n">
        <v>7.1659</v>
      </c>
      <c r="S20" s="35" t="n">
        <v>10.934</v>
      </c>
      <c r="T20" s="35" t="n">
        <v>37.037037037037</v>
      </c>
      <c r="U20" s="35"/>
      <c r="V20" s="35" t="n">
        <v>0</v>
      </c>
      <c r="W20" s="35"/>
      <c r="X20" s="35"/>
      <c r="Y20" s="35"/>
      <c r="Z20" s="35"/>
      <c r="AA20" s="35"/>
      <c r="AB20" s="35"/>
      <c r="AC20" s="35"/>
    </row>
    <row r="21" customFormat="false" ht="13.8" hidden="false" customHeight="false" outlineLevel="0" collapsed="false">
      <c r="A21" s="60" t="s">
        <v>495</v>
      </c>
      <c r="B21" s="61" t="s">
        <v>448</v>
      </c>
      <c r="C21" s="62" t="n">
        <v>-8</v>
      </c>
      <c r="D21" s="62" t="n">
        <v>-1</v>
      </c>
      <c r="E21" s="62"/>
      <c r="F21" s="62" t="n">
        <v>300</v>
      </c>
      <c r="G21" s="62" t="n">
        <v>40.2</v>
      </c>
      <c r="H21" s="62" t="n">
        <v>96</v>
      </c>
      <c r="I21" s="62" t="n">
        <v>60</v>
      </c>
      <c r="J21" s="62" t="n">
        <v>78</v>
      </c>
      <c r="K21" s="62" t="n">
        <v>-8</v>
      </c>
      <c r="L21" s="61" t="s">
        <v>451</v>
      </c>
      <c r="M21" s="62" t="n">
        <v>12</v>
      </c>
      <c r="N21" s="62" t="n">
        <v>5.025</v>
      </c>
      <c r="O21" s="62" t="n">
        <v>7.5</v>
      </c>
      <c r="P21" s="62" t="n">
        <v>9.75</v>
      </c>
      <c r="Q21" s="62" t="n">
        <v>8.4</v>
      </c>
      <c r="R21" s="62" t="n">
        <v>8.0625</v>
      </c>
      <c r="S21" s="62" t="n">
        <v>9.075</v>
      </c>
      <c r="T21" s="35" t="n">
        <v>60</v>
      </c>
      <c r="U21" s="62"/>
      <c r="V21" s="62" t="n">
        <v>0.5</v>
      </c>
      <c r="W21" s="62"/>
      <c r="X21" s="62"/>
      <c r="Y21" s="62"/>
      <c r="Z21" s="62"/>
      <c r="AA21" s="62"/>
      <c r="AB21" s="62"/>
      <c r="AC21" s="62"/>
    </row>
    <row r="22" customFormat="false" ht="13.8" hidden="false" customHeight="false" outlineLevel="0" collapsed="false">
      <c r="A22" s="39" t="s">
        <v>496</v>
      </c>
      <c r="B22" s="63" t="s">
        <v>448</v>
      </c>
      <c r="C22" s="35" t="n">
        <v>-14</v>
      </c>
      <c r="D22" s="35" t="n">
        <v>-1</v>
      </c>
      <c r="E22" s="35"/>
      <c r="F22" s="35" t="n">
        <v>480</v>
      </c>
      <c r="G22" s="35" t="n">
        <v>65</v>
      </c>
      <c r="H22" s="35" t="n">
        <v>252</v>
      </c>
      <c r="I22" s="35" t="n">
        <v>132</v>
      </c>
      <c r="J22" s="35" t="n">
        <v>88</v>
      </c>
      <c r="K22" s="35" t="n">
        <v>-14</v>
      </c>
      <c r="L22" s="63"/>
      <c r="M22" s="35" t="n">
        <v>18</v>
      </c>
      <c r="N22" s="35" t="n">
        <v>4.6429</v>
      </c>
      <c r="O22" s="35" t="n">
        <v>9.4286</v>
      </c>
      <c r="P22" s="35" t="n">
        <v>6.2857</v>
      </c>
      <c r="Q22" s="35" t="n">
        <v>8.1714</v>
      </c>
      <c r="R22" s="35" t="n">
        <v>8.6429</v>
      </c>
      <c r="S22" s="35" t="n">
        <v>7.2286</v>
      </c>
      <c r="T22" s="35" t="n">
        <v>5</v>
      </c>
      <c r="U22" s="35"/>
      <c r="V22" s="35" t="n">
        <v>4</v>
      </c>
      <c r="W22" s="35"/>
      <c r="X22" s="35"/>
      <c r="Y22" s="35"/>
      <c r="Z22" s="35"/>
      <c r="AA22" s="35"/>
      <c r="AB22" s="35"/>
      <c r="AC22" s="35"/>
    </row>
    <row r="23" customFormat="false" ht="13.8" hidden="false" customHeight="false" outlineLevel="0" collapsed="false">
      <c r="A23" s="39" t="s">
        <v>497</v>
      </c>
      <c r="B23" s="63" t="s">
        <v>448</v>
      </c>
      <c r="C23" s="35" t="n">
        <v>-25</v>
      </c>
      <c r="D23" s="35" t="n">
        <v>-1</v>
      </c>
      <c r="E23" s="35"/>
      <c r="F23" s="35" t="n">
        <v>320</v>
      </c>
      <c r="G23" s="35" t="n">
        <v>162</v>
      </c>
      <c r="H23" s="35" t="n">
        <v>84</v>
      </c>
      <c r="I23" s="35" t="n">
        <v>222</v>
      </c>
      <c r="J23" s="35" t="n">
        <v>174</v>
      </c>
      <c r="K23" s="35" t="n">
        <v>-25</v>
      </c>
      <c r="L23" s="63" t="s">
        <v>451</v>
      </c>
      <c r="M23" s="35" t="n">
        <v>3.36</v>
      </c>
      <c r="N23" s="35" t="n">
        <v>6.48</v>
      </c>
      <c r="O23" s="35" t="n">
        <v>8.88</v>
      </c>
      <c r="P23" s="35" t="n">
        <v>6.96</v>
      </c>
      <c r="Q23" s="35" t="n">
        <v>8.112</v>
      </c>
      <c r="R23" s="35" t="n">
        <v>8.4</v>
      </c>
      <c r="S23" s="35" t="n">
        <v>7.536</v>
      </c>
      <c r="T23" s="35" t="n">
        <v>60</v>
      </c>
      <c r="U23" s="35"/>
      <c r="V23" s="35" t="n">
        <v>0.3</v>
      </c>
      <c r="W23" s="35"/>
      <c r="X23" s="35"/>
      <c r="Y23" s="35"/>
      <c r="Z23" s="35"/>
      <c r="AA23" s="35"/>
      <c r="AB23" s="35"/>
      <c r="AC23" s="35"/>
    </row>
    <row r="24" customFormat="false" ht="13.8" hidden="false" customHeight="false" outlineLevel="0" collapsed="false">
      <c r="A24" s="60" t="s">
        <v>473</v>
      </c>
      <c r="B24" s="61" t="s">
        <v>437</v>
      </c>
      <c r="C24" s="62" t="n">
        <v>-83</v>
      </c>
      <c r="D24" s="62"/>
      <c r="E24" s="62" t="n">
        <v>-1</v>
      </c>
      <c r="F24" s="62" t="n">
        <v>540</v>
      </c>
      <c r="G24" s="62" t="n">
        <v>624</v>
      </c>
      <c r="H24" s="62" t="n">
        <v>744</v>
      </c>
      <c r="I24" s="62" t="n">
        <v>864</v>
      </c>
      <c r="J24" s="62" t="n">
        <v>360</v>
      </c>
      <c r="K24" s="62" t="n">
        <v>-83</v>
      </c>
      <c r="L24" s="61" t="s">
        <v>451</v>
      </c>
      <c r="M24" s="62" t="n">
        <v>8.9639</v>
      </c>
      <c r="N24" s="62" t="n">
        <v>7.5181</v>
      </c>
      <c r="O24" s="62" t="n">
        <v>10.4096</v>
      </c>
      <c r="P24" s="62" t="n">
        <v>4.3373</v>
      </c>
      <c r="Q24" s="62" t="n">
        <v>7.9807</v>
      </c>
      <c r="R24" s="62" t="n">
        <v>8.8916</v>
      </c>
      <c r="S24" s="62" t="n">
        <v>6.159</v>
      </c>
      <c r="T24" s="35" t="n">
        <v>60</v>
      </c>
      <c r="U24" s="62"/>
      <c r="V24" s="62" t="n">
        <v>0.2</v>
      </c>
      <c r="W24" s="62" t="n">
        <v>1</v>
      </c>
      <c r="X24" s="62" t="n">
        <v>1452</v>
      </c>
      <c r="Y24" s="62"/>
      <c r="Z24" s="62"/>
      <c r="AA24" s="62"/>
      <c r="AB24" s="62"/>
      <c r="AC24" s="62"/>
    </row>
    <row r="25" customFormat="false" ht="13.8" hidden="false" customHeight="false" outlineLevel="0" collapsed="false">
      <c r="A25" s="39" t="s">
        <v>498</v>
      </c>
      <c r="B25" s="63" t="s">
        <v>448</v>
      </c>
      <c r="C25" s="35" t="n">
        <v>-19</v>
      </c>
      <c r="D25" s="35" t="n">
        <v>-1</v>
      </c>
      <c r="E25" s="35"/>
      <c r="F25" s="35" t="n">
        <v>585</v>
      </c>
      <c r="G25" s="35" t="n">
        <v>98</v>
      </c>
      <c r="H25" s="35" t="n">
        <v>300</v>
      </c>
      <c r="I25" s="35" t="n">
        <v>180</v>
      </c>
      <c r="J25" s="35" t="n">
        <v>108</v>
      </c>
      <c r="K25" s="35" t="n">
        <v>-19</v>
      </c>
      <c r="L25" s="63"/>
      <c r="M25" s="35" t="n">
        <v>15.7895</v>
      </c>
      <c r="N25" s="35" t="n">
        <v>5.1579</v>
      </c>
      <c r="O25" s="35" t="n">
        <v>9.4737</v>
      </c>
      <c r="P25" s="35" t="n">
        <v>5.6842</v>
      </c>
      <c r="Q25" s="35" t="n">
        <v>7.9579</v>
      </c>
      <c r="R25" s="35" t="n">
        <v>8.5263</v>
      </c>
      <c r="S25" s="35" t="n">
        <v>6.8211</v>
      </c>
      <c r="T25" s="35" t="n">
        <v>2</v>
      </c>
      <c r="U25" s="35"/>
      <c r="V25" s="35" t="n">
        <v>5</v>
      </c>
      <c r="W25" s="35"/>
      <c r="X25" s="35"/>
      <c r="Y25" s="35"/>
      <c r="Z25" s="35"/>
      <c r="AA25" s="35"/>
      <c r="AB25" s="35"/>
      <c r="AC25" s="35"/>
    </row>
    <row r="26" customFormat="false" ht="13.8" hidden="false" customHeight="false" outlineLevel="0" collapsed="false">
      <c r="A26" s="60" t="s">
        <v>499</v>
      </c>
      <c r="B26" s="61" t="s">
        <v>448</v>
      </c>
      <c r="C26" s="62" t="n">
        <v>-15</v>
      </c>
      <c r="D26" s="62" t="n">
        <v>-1</v>
      </c>
      <c r="E26" s="62"/>
      <c r="F26" s="62" t="n">
        <v>400</v>
      </c>
      <c r="G26" s="62" t="n">
        <v>79.8</v>
      </c>
      <c r="H26" s="62" t="n">
        <v>168</v>
      </c>
      <c r="I26" s="62" t="n">
        <v>102</v>
      </c>
      <c r="J26" s="62" t="n">
        <v>144</v>
      </c>
      <c r="K26" s="62" t="n">
        <v>-15</v>
      </c>
      <c r="L26" s="61" t="s">
        <v>451</v>
      </c>
      <c r="M26" s="62" t="n">
        <v>11.2</v>
      </c>
      <c r="N26" s="62" t="n">
        <v>5.32</v>
      </c>
      <c r="O26" s="62" t="n">
        <v>6.8</v>
      </c>
      <c r="P26" s="62" t="n">
        <v>9.6</v>
      </c>
      <c r="Q26" s="62" t="n">
        <v>7.92</v>
      </c>
      <c r="R26" s="62" t="n">
        <v>7.5</v>
      </c>
      <c r="S26" s="62" t="n">
        <v>8.76</v>
      </c>
      <c r="T26" s="35" t="n">
        <v>60</v>
      </c>
      <c r="U26" s="62"/>
      <c r="V26" s="62" t="n">
        <v>0.4</v>
      </c>
      <c r="W26" s="62"/>
      <c r="X26" s="62"/>
      <c r="Y26" s="62"/>
      <c r="Z26" s="62"/>
      <c r="AA26" s="62"/>
      <c r="AB26" s="62"/>
      <c r="AC26" s="62"/>
    </row>
    <row r="27" customFormat="false" ht="13.8" hidden="false" customHeight="false" outlineLevel="0" collapsed="false">
      <c r="A27" s="60" t="s">
        <v>500</v>
      </c>
      <c r="B27" s="61" t="s">
        <v>448</v>
      </c>
      <c r="C27" s="62" t="n">
        <v>-21</v>
      </c>
      <c r="D27" s="62" t="n">
        <v>-1</v>
      </c>
      <c r="E27" s="62"/>
      <c r="F27" s="62" t="n">
        <v>450</v>
      </c>
      <c r="G27" s="62" t="n">
        <v>120</v>
      </c>
      <c r="H27" s="62" t="n">
        <v>216</v>
      </c>
      <c r="I27" s="62" t="n">
        <v>144</v>
      </c>
      <c r="J27" s="62" t="n">
        <v>198</v>
      </c>
      <c r="K27" s="62" t="n">
        <v>-21</v>
      </c>
      <c r="L27" s="61" t="s">
        <v>451</v>
      </c>
      <c r="M27" s="62" t="n">
        <v>10.2857</v>
      </c>
      <c r="N27" s="62" t="n">
        <v>5.7143</v>
      </c>
      <c r="O27" s="62" t="n">
        <v>6.8571</v>
      </c>
      <c r="P27" s="62" t="n">
        <v>9.4286</v>
      </c>
      <c r="Q27" s="62" t="n">
        <v>7.8857</v>
      </c>
      <c r="R27" s="62" t="n">
        <v>7.5</v>
      </c>
      <c r="S27" s="62" t="n">
        <v>8.6571</v>
      </c>
      <c r="T27" s="35" t="n">
        <v>60</v>
      </c>
      <c r="U27" s="62"/>
      <c r="V27" s="62" t="n">
        <v>0.3</v>
      </c>
      <c r="W27" s="62"/>
      <c r="X27" s="62"/>
      <c r="Y27" s="62"/>
      <c r="Z27" s="62"/>
      <c r="AA27" s="62"/>
      <c r="AB27" s="62"/>
      <c r="AC27" s="62"/>
    </row>
    <row r="28" customFormat="false" ht="13.8" hidden="false" customHeight="false" outlineLevel="0" collapsed="false">
      <c r="A28" s="39" t="s">
        <v>501</v>
      </c>
      <c r="B28" s="63" t="s">
        <v>437</v>
      </c>
      <c r="C28" s="35" t="n">
        <v>-22</v>
      </c>
      <c r="D28" s="35"/>
      <c r="E28" s="35" t="n">
        <v>-1</v>
      </c>
      <c r="F28" s="35" t="n">
        <v>480</v>
      </c>
      <c r="G28" s="35" t="n">
        <v>222</v>
      </c>
      <c r="H28" s="35" t="n">
        <v>90</v>
      </c>
      <c r="I28" s="35" t="n">
        <v>108</v>
      </c>
      <c r="J28" s="35" t="n">
        <v>258</v>
      </c>
      <c r="K28" s="35" t="n">
        <v>-22</v>
      </c>
      <c r="L28" s="63" t="s">
        <v>451</v>
      </c>
      <c r="M28" s="35" t="n">
        <v>4.0909</v>
      </c>
      <c r="N28" s="35" t="n">
        <v>10.0909</v>
      </c>
      <c r="O28" s="35" t="n">
        <v>4.9091</v>
      </c>
      <c r="P28" s="35" t="n">
        <v>11.7273</v>
      </c>
      <c r="Q28" s="35" t="n">
        <v>7.6364</v>
      </c>
      <c r="R28" s="35" t="n">
        <v>6.6136</v>
      </c>
      <c r="S28" s="35" t="n">
        <v>9.6818</v>
      </c>
      <c r="T28" s="35" t="n">
        <v>60</v>
      </c>
      <c r="U28" s="35"/>
      <c r="V28" s="35" t="n">
        <v>0.2</v>
      </c>
      <c r="W28" s="35" t="n">
        <v>4.2</v>
      </c>
      <c r="X28" s="35"/>
      <c r="Y28" s="35"/>
      <c r="Z28" s="35"/>
      <c r="AA28" s="35"/>
      <c r="AB28" s="35"/>
      <c r="AC28" s="35"/>
    </row>
    <row r="29" customFormat="false" ht="13.8" hidden="false" customHeight="false" outlineLevel="0" collapsed="false">
      <c r="A29" s="39" t="s">
        <v>502</v>
      </c>
      <c r="B29" s="63" t="s">
        <v>448</v>
      </c>
      <c r="C29" s="35" t="n">
        <v>-28</v>
      </c>
      <c r="D29" s="35" t="n">
        <v>-1</v>
      </c>
      <c r="E29" s="35"/>
      <c r="F29" s="35" t="n">
        <v>624</v>
      </c>
      <c r="G29" s="35" t="n">
        <v>112.5</v>
      </c>
      <c r="H29" s="35" t="n">
        <v>450</v>
      </c>
      <c r="I29" s="35" t="n">
        <v>227.25</v>
      </c>
      <c r="J29" s="35" t="n">
        <v>189</v>
      </c>
      <c r="K29" s="35" t="n">
        <v>-28</v>
      </c>
      <c r="L29" s="63"/>
      <c r="M29" s="35" t="n">
        <v>16.0714</v>
      </c>
      <c r="N29" s="35" t="n">
        <v>4.0179</v>
      </c>
      <c r="O29" s="35" t="n">
        <v>8.1161</v>
      </c>
      <c r="P29" s="35" t="n">
        <v>6.75</v>
      </c>
      <c r="Q29" s="35" t="n">
        <v>7.5696</v>
      </c>
      <c r="R29" s="35" t="n">
        <v>7.7746</v>
      </c>
      <c r="S29" s="35" t="n">
        <v>7.1598</v>
      </c>
      <c r="T29" s="35" t="n">
        <v>7.5</v>
      </c>
      <c r="U29" s="35"/>
      <c r="V29" s="35" t="n">
        <v>4</v>
      </c>
      <c r="W29" s="35"/>
      <c r="X29" s="35"/>
      <c r="Y29" s="35"/>
      <c r="Z29" s="35"/>
      <c r="AA29" s="35" t="n">
        <v>202.5</v>
      </c>
      <c r="AB29" s="35"/>
      <c r="AC29" s="35"/>
    </row>
    <row r="30" customFormat="false" ht="13.8" hidden="false" customHeight="false" outlineLevel="0" collapsed="false">
      <c r="A30" s="39" t="s">
        <v>503</v>
      </c>
      <c r="B30" s="63" t="s">
        <v>448</v>
      </c>
      <c r="C30" s="35" t="n">
        <v>-12</v>
      </c>
      <c r="D30" s="35" t="n">
        <v>-1</v>
      </c>
      <c r="E30" s="35"/>
      <c r="F30" s="35" t="n">
        <v>510</v>
      </c>
      <c r="G30" s="35" t="n">
        <v>58</v>
      </c>
      <c r="H30" s="35" t="n">
        <v>180</v>
      </c>
      <c r="I30" s="35" t="n">
        <v>106</v>
      </c>
      <c r="J30" s="35" t="n">
        <v>66</v>
      </c>
      <c r="K30" s="35" t="n">
        <v>-12</v>
      </c>
      <c r="L30" s="63"/>
      <c r="M30" s="35" t="n">
        <v>15</v>
      </c>
      <c r="N30" s="35" t="n">
        <v>4.8333</v>
      </c>
      <c r="O30" s="35" t="n">
        <v>8.8333</v>
      </c>
      <c r="P30" s="35" t="n">
        <v>5.5</v>
      </c>
      <c r="Q30" s="35" t="n">
        <v>7.5</v>
      </c>
      <c r="R30" s="35" t="n">
        <v>8</v>
      </c>
      <c r="S30" s="35" t="n">
        <v>6.5</v>
      </c>
      <c r="T30" s="35" t="n">
        <v>5</v>
      </c>
      <c r="U30" s="35"/>
      <c r="V30" s="35" t="n">
        <v>3</v>
      </c>
      <c r="W30" s="35"/>
      <c r="X30" s="35"/>
      <c r="Y30" s="35"/>
      <c r="Z30" s="35"/>
      <c r="AA30" s="35"/>
      <c r="AB30" s="35"/>
      <c r="AC30" s="35"/>
    </row>
    <row r="31" customFormat="false" ht="13.8" hidden="false" customHeight="false" outlineLevel="0" collapsed="false">
      <c r="A31" s="39" t="s">
        <v>504</v>
      </c>
      <c r="B31" s="63" t="s">
        <v>437</v>
      </c>
      <c r="C31" s="35" t="n">
        <v>-30</v>
      </c>
      <c r="D31" s="35"/>
      <c r="E31" s="35" t="n">
        <v>-1</v>
      </c>
      <c r="F31" s="35" t="n">
        <v>490</v>
      </c>
      <c r="G31" s="35" t="n">
        <v>220</v>
      </c>
      <c r="H31" s="35" t="n">
        <v>300</v>
      </c>
      <c r="I31" s="35" t="n">
        <v>210</v>
      </c>
      <c r="J31" s="35" t="n">
        <v>240</v>
      </c>
      <c r="K31" s="35" t="n">
        <v>-30</v>
      </c>
      <c r="L31" s="63" t="s">
        <v>451</v>
      </c>
      <c r="M31" s="35" t="n">
        <v>10</v>
      </c>
      <c r="N31" s="35" t="n">
        <v>7.3333</v>
      </c>
      <c r="O31" s="35" t="n">
        <v>7</v>
      </c>
      <c r="P31" s="35" t="n">
        <v>8</v>
      </c>
      <c r="Q31" s="35" t="n">
        <v>7.4</v>
      </c>
      <c r="R31" s="35" t="n">
        <v>7.25</v>
      </c>
      <c r="S31" s="35" t="n">
        <v>7.7</v>
      </c>
      <c r="T31" s="35" t="n">
        <v>20</v>
      </c>
      <c r="U31" s="35"/>
      <c r="V31" s="35" t="n">
        <v>0.4</v>
      </c>
      <c r="W31" s="35" t="n">
        <v>2.6</v>
      </c>
      <c r="X31" s="35"/>
      <c r="Y31" s="35"/>
      <c r="Z31" s="35"/>
      <c r="AA31" s="35"/>
      <c r="AB31" s="35"/>
      <c r="AC31" s="35" t="n">
        <v>0.05</v>
      </c>
    </row>
    <row r="32" customFormat="false" ht="13.8" hidden="false" customHeight="false" outlineLevel="0" collapsed="false">
      <c r="A32" s="60" t="s">
        <v>465</v>
      </c>
      <c r="B32" s="61" t="s">
        <v>448</v>
      </c>
      <c r="C32" s="62" t="n">
        <v>-22</v>
      </c>
      <c r="D32" s="62" t="n">
        <v>-1</v>
      </c>
      <c r="E32" s="62"/>
      <c r="F32" s="62" t="n">
        <v>390</v>
      </c>
      <c r="G32" s="62" t="n">
        <v>150</v>
      </c>
      <c r="H32" s="62" t="n">
        <v>102</v>
      </c>
      <c r="I32" s="62" t="n">
        <v>210</v>
      </c>
      <c r="J32" s="62" t="n">
        <v>90</v>
      </c>
      <c r="K32" s="62" t="n">
        <v>-22</v>
      </c>
      <c r="L32" s="61" t="s">
        <v>451</v>
      </c>
      <c r="M32" s="62" t="n">
        <v>4.6364</v>
      </c>
      <c r="N32" s="62" t="n">
        <v>6.8182</v>
      </c>
      <c r="O32" s="62" t="n">
        <v>9.5455</v>
      </c>
      <c r="P32" s="62" t="n">
        <v>4.0909</v>
      </c>
      <c r="Q32" s="62" t="n">
        <v>7.3636</v>
      </c>
      <c r="R32" s="62" t="n">
        <v>8.1818</v>
      </c>
      <c r="S32" s="62" t="n">
        <v>5.7273</v>
      </c>
      <c r="T32" s="35" t="n">
        <v>60</v>
      </c>
      <c r="U32" s="62"/>
      <c r="V32" s="62" t="n">
        <v>0.4</v>
      </c>
      <c r="W32" s="62"/>
      <c r="X32" s="62" t="n">
        <v>480</v>
      </c>
      <c r="Y32" s="62" t="n">
        <v>900</v>
      </c>
      <c r="Z32" s="62"/>
      <c r="AA32" s="62"/>
      <c r="AB32" s="62"/>
      <c r="AC32" s="62"/>
    </row>
    <row r="33" customFormat="false" ht="13.8" hidden="false" customHeight="false" outlineLevel="0" collapsed="false">
      <c r="A33" s="39" t="s">
        <v>505</v>
      </c>
      <c r="B33" s="63" t="s">
        <v>437</v>
      </c>
      <c r="C33" s="35" t="n">
        <v>-25</v>
      </c>
      <c r="D33" s="35"/>
      <c r="E33" s="35" t="n">
        <v>-1</v>
      </c>
      <c r="F33" s="35" t="n">
        <v>510</v>
      </c>
      <c r="G33" s="35" t="n">
        <v>116</v>
      </c>
      <c r="H33" s="35" t="n">
        <v>360</v>
      </c>
      <c r="I33" s="35" t="n">
        <v>212</v>
      </c>
      <c r="J33" s="35" t="n">
        <v>132</v>
      </c>
      <c r="K33" s="35" t="n">
        <v>-25</v>
      </c>
      <c r="L33" s="63"/>
      <c r="M33" s="35" t="n">
        <v>14.4</v>
      </c>
      <c r="N33" s="35" t="n">
        <v>4.64</v>
      </c>
      <c r="O33" s="35" t="n">
        <v>8.48</v>
      </c>
      <c r="P33" s="35" t="n">
        <v>5.28</v>
      </c>
      <c r="Q33" s="35" t="n">
        <v>7.2</v>
      </c>
      <c r="R33" s="35" t="n">
        <v>7.68</v>
      </c>
      <c r="S33" s="35" t="n">
        <v>6.24</v>
      </c>
      <c r="T33" s="35" t="n">
        <v>20</v>
      </c>
      <c r="U33" s="35"/>
      <c r="V33" s="35" t="n">
        <v>3</v>
      </c>
      <c r="W33" s="35" t="n">
        <v>2.6</v>
      </c>
      <c r="X33" s="35"/>
      <c r="Y33" s="35"/>
      <c r="Z33" s="35"/>
      <c r="AA33" s="35"/>
      <c r="AB33" s="35"/>
      <c r="AC33" s="35"/>
    </row>
    <row r="34" customFormat="false" ht="13.8" hidden="false" customHeight="false" outlineLevel="0" collapsed="false">
      <c r="A34" s="39" t="s">
        <v>471</v>
      </c>
      <c r="B34" s="63" t="s">
        <v>437</v>
      </c>
      <c r="C34" s="35" t="n">
        <v>-46</v>
      </c>
      <c r="D34" s="35"/>
      <c r="E34" s="35" t="n">
        <v>-1</v>
      </c>
      <c r="F34" s="35" t="n">
        <v>540</v>
      </c>
      <c r="G34" s="35" t="n">
        <v>312</v>
      </c>
      <c r="H34" s="35" t="n">
        <v>372</v>
      </c>
      <c r="I34" s="35" t="n">
        <v>432</v>
      </c>
      <c r="J34" s="35" t="n">
        <v>180</v>
      </c>
      <c r="K34" s="35" t="n">
        <v>-46</v>
      </c>
      <c r="L34" s="63" t="s">
        <v>451</v>
      </c>
      <c r="M34" s="35" t="n">
        <v>8.087</v>
      </c>
      <c r="N34" s="35" t="n">
        <v>6.7826</v>
      </c>
      <c r="O34" s="35" t="n">
        <v>9.3913</v>
      </c>
      <c r="P34" s="35" t="n">
        <v>3.913</v>
      </c>
      <c r="Q34" s="35" t="n">
        <v>7.2</v>
      </c>
      <c r="R34" s="35" t="n">
        <v>8.0217</v>
      </c>
      <c r="S34" s="35" t="n">
        <v>5.5565</v>
      </c>
      <c r="T34" s="35" t="n">
        <v>60</v>
      </c>
      <c r="U34" s="35"/>
      <c r="V34" s="35" t="n">
        <v>0.2</v>
      </c>
      <c r="W34" s="35" t="n">
        <v>1.8</v>
      </c>
      <c r="X34" s="35" t="n">
        <v>726</v>
      </c>
      <c r="Y34" s="35"/>
      <c r="Z34" s="35"/>
      <c r="AA34" s="35"/>
      <c r="AB34" s="35"/>
      <c r="AC34" s="35"/>
    </row>
    <row r="35" customFormat="false" ht="13.8" hidden="false" customHeight="false" outlineLevel="0" collapsed="false">
      <c r="A35" s="60" t="s">
        <v>506</v>
      </c>
      <c r="B35" s="61" t="s">
        <v>437</v>
      </c>
      <c r="C35" s="62" t="n">
        <v>-34</v>
      </c>
      <c r="D35" s="62"/>
      <c r="E35" s="62" t="n">
        <v>-1</v>
      </c>
      <c r="F35" s="62" t="n">
        <v>450</v>
      </c>
      <c r="G35" s="62" t="n">
        <v>144</v>
      </c>
      <c r="H35" s="62" t="n">
        <v>420</v>
      </c>
      <c r="I35" s="62" t="n">
        <v>270</v>
      </c>
      <c r="J35" s="62" t="n">
        <v>204</v>
      </c>
      <c r="K35" s="62" t="n">
        <v>-34</v>
      </c>
      <c r="L35" s="61"/>
      <c r="M35" s="62" t="n">
        <v>12.3529</v>
      </c>
      <c r="N35" s="62" t="n">
        <v>4.2353</v>
      </c>
      <c r="O35" s="62" t="n">
        <v>7.9412</v>
      </c>
      <c r="P35" s="62" t="n">
        <v>6</v>
      </c>
      <c r="Q35" s="62" t="n">
        <v>7.1647</v>
      </c>
      <c r="R35" s="62" t="n">
        <v>7.4559</v>
      </c>
      <c r="S35" s="62" t="n">
        <v>6.5824</v>
      </c>
      <c r="T35" s="35" t="n">
        <v>6</v>
      </c>
      <c r="U35" s="62"/>
      <c r="V35" s="62" t="n">
        <v>1</v>
      </c>
      <c r="W35" s="62" t="n">
        <v>2.6</v>
      </c>
      <c r="X35" s="62"/>
      <c r="Y35" s="62"/>
      <c r="Z35" s="62"/>
      <c r="AA35" s="62"/>
      <c r="AB35" s="62"/>
      <c r="AC35" s="62"/>
    </row>
    <row r="36" customFormat="false" ht="13.8" hidden="false" customHeight="false" outlineLevel="0" collapsed="false">
      <c r="A36" s="39" t="s">
        <v>507</v>
      </c>
      <c r="B36" s="63" t="s">
        <v>437</v>
      </c>
      <c r="C36" s="35" t="n">
        <v>-24</v>
      </c>
      <c r="D36" s="35"/>
      <c r="E36" s="35" t="n">
        <v>-1</v>
      </c>
      <c r="F36" s="35" t="n">
        <v>490</v>
      </c>
      <c r="G36" s="35" t="n">
        <v>108</v>
      </c>
      <c r="H36" s="35" t="n">
        <v>369</v>
      </c>
      <c r="I36" s="35" t="n">
        <v>168</v>
      </c>
      <c r="J36" s="35" t="n">
        <v>160.0029</v>
      </c>
      <c r="K36" s="35" t="n">
        <v>-24</v>
      </c>
      <c r="L36" s="63" t="s">
        <v>451</v>
      </c>
      <c r="M36" s="35" t="n">
        <v>15.375</v>
      </c>
      <c r="N36" s="35" t="n">
        <v>4.5</v>
      </c>
      <c r="O36" s="35" t="n">
        <v>7</v>
      </c>
      <c r="P36" s="35" t="n">
        <v>6.6668</v>
      </c>
      <c r="Q36" s="35" t="n">
        <v>6.8667</v>
      </c>
      <c r="R36" s="35" t="n">
        <v>6.9167</v>
      </c>
      <c r="S36" s="35" t="n">
        <v>6.7668</v>
      </c>
      <c r="T36" s="35" t="n">
        <v>8.57142857142857</v>
      </c>
      <c r="U36" s="35"/>
      <c r="V36" s="35" t="n">
        <v>5.5</v>
      </c>
      <c r="W36" s="35" t="n">
        <v>3</v>
      </c>
      <c r="X36" s="35"/>
      <c r="Y36" s="35"/>
      <c r="Z36" s="35"/>
      <c r="AA36" s="35"/>
      <c r="AB36" s="35"/>
      <c r="AC36" s="35" t="n">
        <v>0.05</v>
      </c>
    </row>
    <row r="37" customFormat="false" ht="13.8" hidden="false" customHeight="false" outlineLevel="0" collapsed="false">
      <c r="A37" s="60" t="s">
        <v>458</v>
      </c>
      <c r="B37" s="61" t="s">
        <v>448</v>
      </c>
      <c r="C37" s="62" t="n">
        <v>-16</v>
      </c>
      <c r="D37" s="62" t="n">
        <v>-1</v>
      </c>
      <c r="E37" s="62"/>
      <c r="F37" s="62" t="n">
        <v>870</v>
      </c>
      <c r="G37" s="62" t="n">
        <v>120</v>
      </c>
      <c r="H37" s="62" t="n">
        <v>210</v>
      </c>
      <c r="I37" s="62" t="n">
        <v>120</v>
      </c>
      <c r="J37" s="62" t="n">
        <v>90</v>
      </c>
      <c r="K37" s="62" t="n">
        <v>-16</v>
      </c>
      <c r="L37" s="61"/>
      <c r="M37" s="62" t="n">
        <v>13.125</v>
      </c>
      <c r="N37" s="62" t="n">
        <v>7.5</v>
      </c>
      <c r="O37" s="62" t="n">
        <v>7.5</v>
      </c>
      <c r="P37" s="62" t="n">
        <v>5.625</v>
      </c>
      <c r="Q37" s="62" t="n">
        <v>6.75</v>
      </c>
      <c r="R37" s="62" t="n">
        <v>7.0312</v>
      </c>
      <c r="S37" s="62" t="n">
        <v>6.1875</v>
      </c>
      <c r="T37" s="35" t="n">
        <v>4.61538461538462</v>
      </c>
      <c r="U37" s="62"/>
      <c r="V37" s="62" t="n">
        <v>0.5</v>
      </c>
      <c r="W37" s="62"/>
      <c r="X37" s="62"/>
      <c r="Y37" s="62"/>
      <c r="Z37" s="62" t="n">
        <v>230.7692</v>
      </c>
      <c r="AA37" s="62" t="n">
        <v>270</v>
      </c>
      <c r="AB37" s="62"/>
      <c r="AC37" s="62"/>
    </row>
    <row r="38" customFormat="false" ht="13.8" hidden="false" customHeight="false" outlineLevel="0" collapsed="false">
      <c r="A38" s="60" t="s">
        <v>508</v>
      </c>
      <c r="B38" s="61" t="s">
        <v>437</v>
      </c>
      <c r="C38" s="62" t="n">
        <v>-59</v>
      </c>
      <c r="D38" s="62"/>
      <c r="E38" s="62" t="n">
        <v>-1</v>
      </c>
      <c r="F38" s="62" t="n">
        <v>520</v>
      </c>
      <c r="G38" s="62" t="n">
        <v>207.4074</v>
      </c>
      <c r="H38" s="62" t="n">
        <v>659.2593</v>
      </c>
      <c r="I38" s="62" t="n">
        <v>233.3333</v>
      </c>
      <c r="J38" s="62" t="n">
        <v>618.5185</v>
      </c>
      <c r="K38" s="62" t="n">
        <v>-59</v>
      </c>
      <c r="L38" s="61" t="s">
        <v>451</v>
      </c>
      <c r="M38" s="62" t="n">
        <v>11.1739</v>
      </c>
      <c r="N38" s="62" t="n">
        <v>3.5154</v>
      </c>
      <c r="O38" s="62" t="n">
        <v>3.9548</v>
      </c>
      <c r="P38" s="62" t="n">
        <v>10.4834</v>
      </c>
      <c r="Q38" s="62" t="n">
        <v>6.5662</v>
      </c>
      <c r="R38" s="62" t="n">
        <v>5.5869</v>
      </c>
      <c r="S38" s="62" t="n">
        <v>8.5248</v>
      </c>
      <c r="T38" s="35" t="n">
        <v>37.037037037037</v>
      </c>
      <c r="U38" s="62"/>
      <c r="V38" s="62" t="n">
        <v>0</v>
      </c>
      <c r="W38" s="62" t="n">
        <v>2.6</v>
      </c>
      <c r="X38" s="62"/>
      <c r="Y38" s="62"/>
      <c r="Z38" s="62"/>
      <c r="AA38" s="62"/>
      <c r="AB38" s="62"/>
      <c r="AC38" s="62"/>
    </row>
    <row r="39" customFormat="false" ht="13.8" hidden="false" customHeight="false" outlineLevel="0" collapsed="false">
      <c r="A39" s="60" t="s">
        <v>474</v>
      </c>
      <c r="B39" s="61" t="s">
        <v>437</v>
      </c>
      <c r="C39" s="62" t="n">
        <v>-77</v>
      </c>
      <c r="D39" s="62"/>
      <c r="E39" s="62" t="n">
        <v>-1</v>
      </c>
      <c r="F39" s="62" t="n">
        <v>550</v>
      </c>
      <c r="G39" s="62" t="n">
        <v>450</v>
      </c>
      <c r="H39" s="62" t="n">
        <v>510</v>
      </c>
      <c r="I39" s="62" t="n">
        <v>648</v>
      </c>
      <c r="J39" s="62" t="n">
        <v>288</v>
      </c>
      <c r="K39" s="62" t="n">
        <v>-77</v>
      </c>
      <c r="L39" s="61" t="s">
        <v>451</v>
      </c>
      <c r="M39" s="62" t="n">
        <v>6.6234</v>
      </c>
      <c r="N39" s="62" t="n">
        <v>5.8442</v>
      </c>
      <c r="O39" s="62" t="n">
        <v>8.4156</v>
      </c>
      <c r="P39" s="62" t="n">
        <v>3.7403</v>
      </c>
      <c r="Q39" s="62" t="n">
        <v>6.5455</v>
      </c>
      <c r="R39" s="62" t="n">
        <v>7.2468</v>
      </c>
      <c r="S39" s="62" t="n">
        <v>5.1429</v>
      </c>
      <c r="T39" s="35" t="n">
        <v>60</v>
      </c>
      <c r="U39" s="62"/>
      <c r="V39" s="62" t="n">
        <v>0.5</v>
      </c>
      <c r="W39" s="62" t="n">
        <v>0.8</v>
      </c>
      <c r="X39" s="62" t="n">
        <v>1800</v>
      </c>
      <c r="Y39" s="62" t="n">
        <v>4500</v>
      </c>
      <c r="Z39" s="62"/>
      <c r="AA39" s="62"/>
      <c r="AB39" s="62"/>
      <c r="AC39" s="62"/>
    </row>
    <row r="40" customFormat="false" ht="13.8" hidden="false" customHeight="false" outlineLevel="0" collapsed="false">
      <c r="A40" s="60" t="s">
        <v>509</v>
      </c>
      <c r="B40" s="61" t="s">
        <v>448</v>
      </c>
      <c r="C40" s="62" t="n">
        <v>-30</v>
      </c>
      <c r="D40" s="62" t="n">
        <v>-1</v>
      </c>
      <c r="E40" s="62"/>
      <c r="F40" s="62" t="n">
        <v>750</v>
      </c>
      <c r="G40" s="62" t="n">
        <v>105</v>
      </c>
      <c r="H40" s="62" t="n">
        <v>360</v>
      </c>
      <c r="I40" s="62" t="n">
        <v>195</v>
      </c>
      <c r="J40" s="62" t="n">
        <v>186</v>
      </c>
      <c r="K40" s="62" t="n">
        <v>-30</v>
      </c>
      <c r="L40" s="61"/>
      <c r="M40" s="62" t="n">
        <v>12</v>
      </c>
      <c r="N40" s="62" t="n">
        <v>3.5</v>
      </c>
      <c r="O40" s="62" t="n">
        <v>6.5</v>
      </c>
      <c r="P40" s="62" t="n">
        <v>6.2</v>
      </c>
      <c r="Q40" s="62" t="n">
        <v>6.38</v>
      </c>
      <c r="R40" s="62" t="n">
        <v>6.425</v>
      </c>
      <c r="S40" s="62" t="n">
        <v>6.29</v>
      </c>
      <c r="T40" s="35" t="n">
        <v>3</v>
      </c>
      <c r="U40" s="62"/>
      <c r="V40" s="62" t="n">
        <v>0.5</v>
      </c>
      <c r="W40" s="62"/>
      <c r="X40" s="62"/>
      <c r="Y40" s="62"/>
      <c r="Z40" s="62"/>
      <c r="AA40" s="62" t="n">
        <v>360</v>
      </c>
      <c r="AB40" s="62"/>
      <c r="AC40" s="62"/>
    </row>
    <row r="41" customFormat="false" ht="13.8" hidden="false" customHeight="false" outlineLevel="0" collapsed="false">
      <c r="A41" s="60" t="s">
        <v>510</v>
      </c>
      <c r="B41" s="61" t="s">
        <v>437</v>
      </c>
      <c r="C41" s="62" t="n">
        <v>-18</v>
      </c>
      <c r="D41" s="62"/>
      <c r="E41" s="62" t="n">
        <v>-1</v>
      </c>
      <c r="F41" s="62" t="n">
        <v>480</v>
      </c>
      <c r="G41" s="62" t="n">
        <v>65</v>
      </c>
      <c r="H41" s="62" t="n">
        <v>252</v>
      </c>
      <c r="I41" s="62" t="n">
        <v>132</v>
      </c>
      <c r="J41" s="62" t="n">
        <v>88</v>
      </c>
      <c r="K41" s="62" t="n">
        <v>-18</v>
      </c>
      <c r="L41" s="61"/>
      <c r="M41" s="62" t="n">
        <v>14</v>
      </c>
      <c r="N41" s="62" t="n">
        <v>3.6111</v>
      </c>
      <c r="O41" s="62" t="n">
        <v>7.3333</v>
      </c>
      <c r="P41" s="62" t="n">
        <v>4.8889</v>
      </c>
      <c r="Q41" s="62" t="n">
        <v>6.3556</v>
      </c>
      <c r="R41" s="62" t="n">
        <v>6.7222</v>
      </c>
      <c r="S41" s="62" t="n">
        <v>5.6222</v>
      </c>
      <c r="T41" s="35" t="n">
        <v>10</v>
      </c>
      <c r="U41" s="62"/>
      <c r="V41" s="62" t="n">
        <v>4</v>
      </c>
      <c r="W41" s="62" t="n">
        <v>3.6</v>
      </c>
      <c r="X41" s="62"/>
      <c r="Y41" s="62"/>
      <c r="Z41" s="62"/>
      <c r="AA41" s="62"/>
      <c r="AB41" s="62"/>
      <c r="AC41" s="62"/>
    </row>
    <row r="42" customFormat="false" ht="13.8" hidden="false" customHeight="false" outlineLevel="0" collapsed="false">
      <c r="A42" s="60" t="s">
        <v>511</v>
      </c>
      <c r="B42" s="61" t="s">
        <v>437</v>
      </c>
      <c r="C42" s="62" t="n">
        <v>-34</v>
      </c>
      <c r="D42" s="62"/>
      <c r="E42" s="62" t="n">
        <v>-1</v>
      </c>
      <c r="F42" s="62" t="n">
        <v>624</v>
      </c>
      <c r="G42" s="62" t="n">
        <v>112.5</v>
      </c>
      <c r="H42" s="62" t="n">
        <v>450</v>
      </c>
      <c r="I42" s="62" t="n">
        <v>227.25</v>
      </c>
      <c r="J42" s="62" t="n">
        <v>189</v>
      </c>
      <c r="K42" s="62" t="n">
        <v>-34</v>
      </c>
      <c r="L42" s="61"/>
      <c r="M42" s="62" t="n">
        <v>13.2353</v>
      </c>
      <c r="N42" s="62" t="n">
        <v>3.3088</v>
      </c>
      <c r="O42" s="62" t="n">
        <v>6.6838</v>
      </c>
      <c r="P42" s="62" t="n">
        <v>5.5588</v>
      </c>
      <c r="Q42" s="62" t="n">
        <v>6.2338</v>
      </c>
      <c r="R42" s="62" t="n">
        <v>6.4026</v>
      </c>
      <c r="S42" s="62" t="n">
        <v>5.8963</v>
      </c>
      <c r="T42" s="35" t="n">
        <v>7.5</v>
      </c>
      <c r="U42" s="62"/>
      <c r="V42" s="62" t="n">
        <v>4</v>
      </c>
      <c r="W42" s="62" t="n">
        <v>2.4</v>
      </c>
      <c r="X42" s="62"/>
      <c r="Y42" s="62"/>
      <c r="Z42" s="62"/>
      <c r="AA42" s="62" t="n">
        <v>202.5</v>
      </c>
      <c r="AB42" s="62"/>
      <c r="AC42" s="62"/>
    </row>
    <row r="43" customFormat="false" ht="13.8" hidden="false" customHeight="false" outlineLevel="0" collapsed="false">
      <c r="A43" s="60" t="s">
        <v>512</v>
      </c>
      <c r="B43" s="61" t="s">
        <v>437</v>
      </c>
      <c r="C43" s="62" t="n">
        <v>-66</v>
      </c>
      <c r="D43" s="62"/>
      <c r="E43" s="62" t="n">
        <v>-1</v>
      </c>
      <c r="F43" s="62" t="n">
        <v>320</v>
      </c>
      <c r="G43" s="62" t="n">
        <v>324</v>
      </c>
      <c r="H43" s="62" t="n">
        <v>168</v>
      </c>
      <c r="I43" s="62" t="n">
        <v>444</v>
      </c>
      <c r="J43" s="62" t="n">
        <v>348</v>
      </c>
      <c r="K43" s="62" t="n">
        <v>-66</v>
      </c>
      <c r="L43" s="61" t="s">
        <v>451</v>
      </c>
      <c r="M43" s="62" t="n">
        <v>2.5455</v>
      </c>
      <c r="N43" s="62" t="n">
        <v>4.9091</v>
      </c>
      <c r="O43" s="62" t="n">
        <v>6.7273</v>
      </c>
      <c r="P43" s="62" t="n">
        <v>5.2727</v>
      </c>
      <c r="Q43" s="62" t="n">
        <v>6.1455</v>
      </c>
      <c r="R43" s="62" t="n">
        <v>6.3636</v>
      </c>
      <c r="S43" s="62" t="n">
        <v>5.7091</v>
      </c>
      <c r="T43" s="35" t="n">
        <v>60</v>
      </c>
      <c r="U43" s="62"/>
      <c r="V43" s="62" t="n">
        <v>0.3</v>
      </c>
      <c r="W43" s="62" t="n">
        <v>1.6</v>
      </c>
      <c r="X43" s="62"/>
      <c r="Y43" s="62"/>
      <c r="Z43" s="62"/>
      <c r="AA43" s="62"/>
      <c r="AB43" s="62"/>
      <c r="AC43" s="62"/>
    </row>
    <row r="44" customFormat="false" ht="13.8" hidden="false" customHeight="false" outlineLevel="0" collapsed="false">
      <c r="A44" s="39" t="s">
        <v>513</v>
      </c>
      <c r="B44" s="63" t="s">
        <v>437</v>
      </c>
      <c r="C44" s="35" t="n">
        <v>-54</v>
      </c>
      <c r="D44" s="35"/>
      <c r="E44" s="35" t="n">
        <v>-1</v>
      </c>
      <c r="F44" s="35" t="n">
        <v>450</v>
      </c>
      <c r="G44" s="35" t="n">
        <v>240</v>
      </c>
      <c r="H44" s="35" t="n">
        <v>432</v>
      </c>
      <c r="I44" s="35" t="n">
        <v>288</v>
      </c>
      <c r="J44" s="35" t="n">
        <v>396</v>
      </c>
      <c r="K44" s="35" t="n">
        <v>-54</v>
      </c>
      <c r="L44" s="63" t="s">
        <v>451</v>
      </c>
      <c r="M44" s="35" t="n">
        <v>8</v>
      </c>
      <c r="N44" s="35" t="n">
        <v>4.4444</v>
      </c>
      <c r="O44" s="35" t="n">
        <v>5.3333</v>
      </c>
      <c r="P44" s="35" t="n">
        <v>7.3333</v>
      </c>
      <c r="Q44" s="35" t="n">
        <v>6.1333</v>
      </c>
      <c r="R44" s="35" t="n">
        <v>5.8333</v>
      </c>
      <c r="S44" s="35" t="n">
        <v>6.7333</v>
      </c>
      <c r="T44" s="35" t="n">
        <v>60</v>
      </c>
      <c r="U44" s="35"/>
      <c r="V44" s="35" t="n">
        <v>0.3</v>
      </c>
      <c r="W44" s="35" t="n">
        <v>1.2</v>
      </c>
      <c r="X44" s="35"/>
      <c r="Y44" s="35"/>
      <c r="Z44" s="35"/>
      <c r="AA44" s="35"/>
      <c r="AB44" s="35"/>
      <c r="AC44" s="35"/>
    </row>
    <row r="45" customFormat="false" ht="13.8" hidden="false" customHeight="false" outlineLevel="0" collapsed="false">
      <c r="A45" s="39" t="s">
        <v>472</v>
      </c>
      <c r="B45" s="63" t="s">
        <v>437</v>
      </c>
      <c r="C45" s="35" t="n">
        <v>-54</v>
      </c>
      <c r="D45" s="35"/>
      <c r="E45" s="35" t="n">
        <v>-1</v>
      </c>
      <c r="F45" s="35" t="n">
        <v>450</v>
      </c>
      <c r="G45" s="35" t="n">
        <v>300</v>
      </c>
      <c r="H45" s="35" t="n">
        <v>270</v>
      </c>
      <c r="I45" s="35" t="n">
        <v>426</v>
      </c>
      <c r="J45" s="35" t="n">
        <v>186</v>
      </c>
      <c r="K45" s="35" t="n">
        <v>-54</v>
      </c>
      <c r="L45" s="63" t="s">
        <v>451</v>
      </c>
      <c r="M45" s="35" t="n">
        <v>5</v>
      </c>
      <c r="N45" s="35" t="n">
        <v>5.5556</v>
      </c>
      <c r="O45" s="35" t="n">
        <v>7.8889</v>
      </c>
      <c r="P45" s="35" t="n">
        <v>3.4444</v>
      </c>
      <c r="Q45" s="35" t="n">
        <v>6.1111</v>
      </c>
      <c r="R45" s="35" t="n">
        <v>6.7778</v>
      </c>
      <c r="S45" s="35" t="n">
        <v>4.7778</v>
      </c>
      <c r="T45" s="35" t="n">
        <v>60</v>
      </c>
      <c r="U45" s="35"/>
      <c r="V45" s="35" t="n">
        <v>0.45</v>
      </c>
      <c r="W45" s="35" t="n">
        <v>1.2</v>
      </c>
      <c r="X45" s="35" t="n">
        <v>1080</v>
      </c>
      <c r="Y45" s="35" t="n">
        <v>2400</v>
      </c>
      <c r="Z45" s="35"/>
      <c r="AA45" s="35"/>
      <c r="AB45" s="35"/>
      <c r="AC45" s="35"/>
    </row>
    <row r="46" customFormat="false" ht="13.8" hidden="false" customHeight="false" outlineLevel="0" collapsed="false">
      <c r="A46" s="39" t="s">
        <v>514</v>
      </c>
      <c r="B46" s="63" t="s">
        <v>437</v>
      </c>
      <c r="C46" s="35" t="n">
        <v>-22</v>
      </c>
      <c r="D46" s="35"/>
      <c r="E46" s="35" t="n">
        <v>-1</v>
      </c>
      <c r="F46" s="35" t="n">
        <v>300</v>
      </c>
      <c r="G46" s="35" t="n">
        <v>79.8</v>
      </c>
      <c r="H46" s="35" t="n">
        <v>192</v>
      </c>
      <c r="I46" s="35" t="n">
        <v>120</v>
      </c>
      <c r="J46" s="35" t="n">
        <v>156</v>
      </c>
      <c r="K46" s="35" t="n">
        <v>-22</v>
      </c>
      <c r="L46" s="63" t="s">
        <v>451</v>
      </c>
      <c r="M46" s="35" t="n">
        <v>8.7273</v>
      </c>
      <c r="N46" s="35" t="n">
        <v>3.6273</v>
      </c>
      <c r="O46" s="35" t="n">
        <v>5.4545</v>
      </c>
      <c r="P46" s="35" t="n">
        <v>7.0909</v>
      </c>
      <c r="Q46" s="35" t="n">
        <v>6.1091</v>
      </c>
      <c r="R46" s="35" t="n">
        <v>5.8636</v>
      </c>
      <c r="S46" s="35" t="n">
        <v>6.6</v>
      </c>
      <c r="T46" s="35" t="n">
        <v>60</v>
      </c>
      <c r="U46" s="35"/>
      <c r="V46" s="35" t="n">
        <v>0.5</v>
      </c>
      <c r="W46" s="35" t="n">
        <v>4</v>
      </c>
      <c r="X46" s="35"/>
      <c r="Y46" s="35"/>
      <c r="Z46" s="35"/>
      <c r="AA46" s="35"/>
      <c r="AB46" s="35"/>
      <c r="AC46" s="35"/>
    </row>
    <row r="47" customFormat="false" ht="13.8" hidden="false" customHeight="false" outlineLevel="0" collapsed="false">
      <c r="A47" s="60" t="s">
        <v>515</v>
      </c>
      <c r="B47" s="61" t="s">
        <v>437</v>
      </c>
      <c r="C47" s="62" t="n">
        <v>-15</v>
      </c>
      <c r="D47" s="62"/>
      <c r="E47" s="62" t="n">
        <v>-1</v>
      </c>
      <c r="F47" s="62" t="n">
        <v>510</v>
      </c>
      <c r="G47" s="62" t="n">
        <v>58</v>
      </c>
      <c r="H47" s="62" t="n">
        <v>180</v>
      </c>
      <c r="I47" s="62" t="n">
        <v>106</v>
      </c>
      <c r="J47" s="62" t="n">
        <v>66</v>
      </c>
      <c r="K47" s="62" t="n">
        <v>-15</v>
      </c>
      <c r="L47" s="61"/>
      <c r="M47" s="62" t="n">
        <v>12</v>
      </c>
      <c r="N47" s="62" t="n">
        <v>3.8667</v>
      </c>
      <c r="O47" s="62" t="n">
        <v>7.0667</v>
      </c>
      <c r="P47" s="62" t="n">
        <v>4.4</v>
      </c>
      <c r="Q47" s="62" t="n">
        <v>6</v>
      </c>
      <c r="R47" s="62" t="n">
        <v>6.4</v>
      </c>
      <c r="S47" s="62" t="n">
        <v>5.2</v>
      </c>
      <c r="T47" s="35" t="n">
        <v>10</v>
      </c>
      <c r="U47" s="62"/>
      <c r="V47" s="62" t="n">
        <v>3</v>
      </c>
      <c r="W47" s="62" t="n">
        <v>3.6</v>
      </c>
      <c r="X47" s="62"/>
      <c r="Y47" s="62"/>
      <c r="Z47" s="62"/>
      <c r="AA47" s="62"/>
      <c r="AB47" s="62"/>
      <c r="AC47" s="62"/>
    </row>
    <row r="48" customFormat="false" ht="13.8" hidden="false" customHeight="false" outlineLevel="0" collapsed="false">
      <c r="A48" s="39" t="s">
        <v>516</v>
      </c>
      <c r="B48" s="63" t="s">
        <v>437</v>
      </c>
      <c r="C48" s="35" t="n">
        <v>-40</v>
      </c>
      <c r="D48" s="35"/>
      <c r="E48" s="35" t="n">
        <v>-1</v>
      </c>
      <c r="F48" s="35" t="n">
        <v>400</v>
      </c>
      <c r="G48" s="35" t="n">
        <v>159.6</v>
      </c>
      <c r="H48" s="35" t="n">
        <v>336</v>
      </c>
      <c r="I48" s="35" t="n">
        <v>204</v>
      </c>
      <c r="J48" s="35" t="n">
        <v>288</v>
      </c>
      <c r="K48" s="35" t="n">
        <v>-40</v>
      </c>
      <c r="L48" s="63" t="s">
        <v>451</v>
      </c>
      <c r="M48" s="35" t="n">
        <v>8.4</v>
      </c>
      <c r="N48" s="35" t="n">
        <v>3.99</v>
      </c>
      <c r="O48" s="35" t="n">
        <v>5.1</v>
      </c>
      <c r="P48" s="35" t="n">
        <v>7.2</v>
      </c>
      <c r="Q48" s="35" t="n">
        <v>5.94</v>
      </c>
      <c r="R48" s="35" t="n">
        <v>5.625</v>
      </c>
      <c r="S48" s="35" t="n">
        <v>6.57</v>
      </c>
      <c r="T48" s="35" t="n">
        <v>60</v>
      </c>
      <c r="U48" s="35"/>
      <c r="V48" s="35" t="n">
        <v>0.4</v>
      </c>
      <c r="W48" s="35" t="n">
        <v>2.2</v>
      </c>
      <c r="X48" s="35"/>
      <c r="Y48" s="35"/>
      <c r="Z48" s="35"/>
      <c r="AA48" s="35"/>
      <c r="AB48" s="35"/>
      <c r="AC48" s="35"/>
    </row>
    <row r="49" customFormat="false" ht="13.8" hidden="false" customHeight="false" outlineLevel="0" collapsed="false">
      <c r="A49" s="39" t="s">
        <v>517</v>
      </c>
      <c r="B49" s="63" t="s">
        <v>448</v>
      </c>
      <c r="C49" s="35" t="n">
        <v>-20</v>
      </c>
      <c r="D49" s="35" t="n">
        <v>-1</v>
      </c>
      <c r="E49" s="35"/>
      <c r="F49" s="35" t="n">
        <v>1360</v>
      </c>
      <c r="G49" s="35" t="n">
        <v>90</v>
      </c>
      <c r="H49" s="35" t="n">
        <v>45</v>
      </c>
      <c r="I49" s="35" t="n">
        <v>99</v>
      </c>
      <c r="J49" s="35" t="n">
        <v>117</v>
      </c>
      <c r="K49" s="35" t="n">
        <v>-20</v>
      </c>
      <c r="L49" s="63"/>
      <c r="M49" s="35" t="n">
        <v>2.25</v>
      </c>
      <c r="N49" s="35" t="n">
        <v>4.5</v>
      </c>
      <c r="O49" s="35" t="n">
        <v>4.95</v>
      </c>
      <c r="P49" s="35" t="n">
        <v>5.85</v>
      </c>
      <c r="Q49" s="35" t="n">
        <v>5.31</v>
      </c>
      <c r="R49" s="35" t="n">
        <v>5.175</v>
      </c>
      <c r="S49" s="35" t="n">
        <v>5.58</v>
      </c>
      <c r="T49" s="35" t="n">
        <v>1.5</v>
      </c>
      <c r="U49" s="35"/>
      <c r="V49" s="35" t="n">
        <v>8</v>
      </c>
      <c r="W49" s="35"/>
      <c r="X49" s="35"/>
      <c r="Y49" s="35"/>
      <c r="Z49" s="35"/>
      <c r="AA49" s="35"/>
      <c r="AB49" s="35"/>
      <c r="AC49" s="35"/>
    </row>
    <row r="50" customFormat="false" ht="13.8" hidden="false" customHeight="false" outlineLevel="0" collapsed="false">
      <c r="A50" s="39" t="s">
        <v>518</v>
      </c>
      <c r="B50" s="63" t="s">
        <v>448</v>
      </c>
      <c r="C50" s="35" t="n">
        <v>-34</v>
      </c>
      <c r="D50" s="35" t="n">
        <v>-1</v>
      </c>
      <c r="E50" s="35"/>
      <c r="F50" s="35" t="n">
        <v>2600</v>
      </c>
      <c r="G50" s="35" t="n">
        <v>150</v>
      </c>
      <c r="H50" s="35" t="n">
        <v>120</v>
      </c>
      <c r="I50" s="35" t="n">
        <v>144</v>
      </c>
      <c r="J50" s="35" t="n">
        <v>78</v>
      </c>
      <c r="K50" s="35" t="n">
        <v>-34</v>
      </c>
      <c r="L50" s="63"/>
      <c r="M50" s="35" t="n">
        <v>3.5294</v>
      </c>
      <c r="N50" s="35" t="n">
        <v>4.4118</v>
      </c>
      <c r="O50" s="35" t="n">
        <v>4.2353</v>
      </c>
      <c r="P50" s="35" t="n">
        <v>2.2941</v>
      </c>
      <c r="Q50" s="35" t="n">
        <v>3.4588</v>
      </c>
      <c r="R50" s="35" t="n">
        <v>3.75</v>
      </c>
      <c r="S50" s="35" t="n">
        <v>2.8765</v>
      </c>
      <c r="T50" s="35" t="n">
        <v>6</v>
      </c>
      <c r="U50" s="35"/>
      <c r="V50" s="35" t="n">
        <v>2</v>
      </c>
      <c r="W50" s="35"/>
      <c r="X50" s="35"/>
      <c r="Y50" s="35"/>
      <c r="Z50" s="35"/>
      <c r="AA50" s="35" t="n">
        <v>18</v>
      </c>
      <c r="AB50" s="35" t="s">
        <v>453</v>
      </c>
      <c r="AC50" s="35"/>
    </row>
    <row r="1048576" customFormat="false" ht="12.8" hidden="false" customHeight="false" outlineLevel="0" collapsed="false"/>
  </sheetData>
  <autoFilter ref="A1:AC50"/>
  <conditionalFormatting sqref="A1:AC1">
    <cfRule type="expression" priority="2" aboveAverage="0" equalAverage="0" bottom="0" percent="0" rank="0" text="" dxfId="0">
      <formula>AND(OR(COUNTIF('master sheet'!$A$2:$A$111,A1)&gt;0,COUNTIF('master sheet'!$C$2:$C$111,A1)&gt;0),IF(COUNTIF('master sheet'!$A$2:$A$111,A1)&gt;0,INDEX('master sheet'!$B$2:$B$111,MATCH(A1,'master sheet'!$A$2:$A$111,0)),INDEX('master sheet'!$B$2:$B$111,MATCH(A1,'master sheet'!$C$2:$C$111,0)))&lt;&gt;"")</formula>
    </cfRule>
  </conditionalFormatting>
  <conditionalFormatting sqref="A1:AC1">
    <cfRule type="expression" priority="3" aboveAverage="0" equalAverage="0" bottom="0" percent="0" rank="0" text="" dxfId="1">
      <formula>AND(COUNTIF('master sheet'!$A$2:$A$111,A1)=0,COUNTIF('master sheet'!$C$2:$C$111,A1)=0)</formula>
    </cfRule>
  </conditionalFormatting>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&amp;C&amp;"Arial,Regular"&amp;10&amp;Kffffff&amp;A</oddHeader>
    <oddFooter>&amp;C&amp;"Arial,Regular"&amp;10&amp;KffffffPage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69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2026-03-16T22:26:44Z</dcterms:created>
  <dc:creator>openpyxl</dc:creator>
  <dc:description/>
  <dc:language>en-US</dc:language>
  <cp:lastModifiedBy/>
  <dcterms:modified xsi:type="dcterms:W3CDTF">2026-03-29T20:33:36Z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